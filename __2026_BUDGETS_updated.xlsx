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_2026_BUDGETS" sheetId="1" state="visible" r:id="rId1"/>
  </sheets>
  <definedNames/>
  <calcPr calcId="191029" fullCalcOnLoad="1"/>
</workbook>
</file>

<file path=xl/styles.xml><?xml version="1.0" encoding="utf-8"?>
<styleSheet xmlns="http://schemas.openxmlformats.org/spreadsheetml/2006/main">
  <numFmts count="0"/>
  <fonts count="22">
    <font>
      <name val="Aptos Narrow"/>
      <family val="2"/>
      <color theme="1"/>
      <sz val="11"/>
      <scheme val="minor"/>
    </font>
    <font>
      <name val="Aptos Narrow"/>
      <family val="2"/>
      <color theme="1"/>
      <sz val="11"/>
      <scheme val="minor"/>
    </font>
    <font>
      <name val="Aptos Display"/>
      <family val="2"/>
      <color theme="3"/>
      <sz val="18"/>
      <scheme val="major"/>
    </font>
    <font>
      <name val="Aptos Narrow"/>
      <family val="2"/>
      <b val="1"/>
      <color theme="3"/>
      <sz val="15"/>
      <scheme val="minor"/>
    </font>
    <font>
      <name val="Aptos Narrow"/>
      <family val="2"/>
      <b val="1"/>
      <color theme="3"/>
      <sz val="13"/>
      <scheme val="minor"/>
    </font>
    <font>
      <name val="Aptos Narrow"/>
      <family val="2"/>
      <b val="1"/>
      <color theme="3"/>
      <sz val="11"/>
      <scheme val="minor"/>
    </font>
    <font>
      <name val="Aptos Narrow"/>
      <family val="2"/>
      <color rgb="FF006100"/>
      <sz val="11"/>
      <scheme val="minor"/>
    </font>
    <font>
      <name val="Aptos Narrow"/>
      <family val="2"/>
      <color rgb="FF9C0006"/>
      <sz val="11"/>
      <scheme val="minor"/>
    </font>
    <font>
      <name val="Aptos Narrow"/>
      <family val="2"/>
      <color rgb="FF9C5700"/>
      <sz val="11"/>
      <scheme val="minor"/>
    </font>
    <font>
      <name val="Aptos Narrow"/>
      <family val="2"/>
      <color rgb="FF3F3F76"/>
      <sz val="11"/>
      <scheme val="minor"/>
    </font>
    <font>
      <name val="Aptos Narrow"/>
      <family val="2"/>
      <b val="1"/>
      <color rgb="FF3F3F3F"/>
      <sz val="11"/>
      <scheme val="minor"/>
    </font>
    <font>
      <name val="Aptos Narrow"/>
      <family val="2"/>
      <b val="1"/>
      <color rgb="FFFA7D00"/>
      <sz val="11"/>
      <scheme val="minor"/>
    </font>
    <font>
      <name val="Aptos Narrow"/>
      <family val="2"/>
      <color rgb="FFFA7D00"/>
      <sz val="11"/>
      <scheme val="minor"/>
    </font>
    <font>
      <name val="Aptos Narrow"/>
      <family val="2"/>
      <b val="1"/>
      <color theme="0"/>
      <sz val="11"/>
      <scheme val="minor"/>
    </font>
    <font>
      <name val="Aptos Narrow"/>
      <family val="2"/>
      <color rgb="FFFF0000"/>
      <sz val="11"/>
      <scheme val="minor"/>
    </font>
    <font>
      <name val="Aptos Narrow"/>
      <family val="2"/>
      <i val="1"/>
      <color rgb="FF7F7F7F"/>
      <sz val="11"/>
      <scheme val="minor"/>
    </font>
    <font>
      <name val="Aptos Narrow"/>
      <family val="2"/>
      <b val="1"/>
      <color theme="1"/>
      <sz val="11"/>
      <scheme val="minor"/>
    </font>
    <font>
      <name val="Aptos Narrow"/>
      <family val="2"/>
      <color theme="0"/>
      <sz val="11"/>
      <scheme val="minor"/>
    </font>
    <font>
      <name val="Aptos Narrow"/>
      <family val="2"/>
      <i val="1"/>
      <color theme="1"/>
      <sz val="11"/>
      <scheme val="minor"/>
    </font>
    <font>
      <name val="Aptos Narrow"/>
      <family val="2"/>
      <b val="1"/>
      <i val="1"/>
      <color theme="1"/>
      <sz val="11"/>
      <scheme val="minor"/>
    </font>
    <font>
      <name val="Aptos Narrow"/>
      <family val="2"/>
      <sz val="8"/>
      <scheme val="minor"/>
    </font>
    <font>
      <name val="Aptos Narrow"/>
      <family val="2"/>
      <color theme="10"/>
      <sz val="11"/>
      <u val="single"/>
      <scheme val="minor"/>
    </font>
  </fonts>
  <fills count="41">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FFFFFF00"/>
        <bgColor indexed="64"/>
      </patternFill>
    </fill>
    <fill>
      <patternFill patternType="solid">
        <fgColor rgb="FF92D050"/>
        <bgColor indexed="64"/>
      </patternFill>
    </fill>
    <fill>
      <patternFill patternType="solid">
        <fgColor rgb="FFFFC000"/>
        <bgColor indexed="64"/>
      </patternFill>
    </fill>
    <fill>
      <patternFill patternType="solid">
        <fgColor theme="9" tint="0.7999816888943144"/>
        <bgColor indexed="64"/>
      </patternFill>
    </fill>
    <fill>
      <patternFill patternType="solid">
        <fgColor theme="5" tint="0.3999755851924192"/>
        <bgColor indexed="64"/>
      </patternFill>
    </fill>
    <fill>
      <patternFill patternType="solid">
        <fgColor theme="0" tint="-0.0499893185216834"/>
        <bgColor indexed="64"/>
      </patternFill>
    </fill>
    <fill>
      <patternFill patternType="solid">
        <fgColor theme="7" tint="0.7999816888943144"/>
        <bgColor indexed="64"/>
      </patternFill>
    </fill>
    <fill>
      <patternFill patternType="solid">
        <fgColor theme="8" tint="0.7999816888943144"/>
        <bgColor indexed="64"/>
      </patternFill>
    </fill>
  </fills>
  <borders count="1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bottom/>
      <diagonal/>
    </border>
    <border>
      <left/>
      <right style="double">
        <color indexed="64"/>
      </right>
      <top/>
      <bottom/>
      <diagonal/>
    </border>
    <border>
      <left/>
      <right style="dotted">
        <color indexed="64"/>
      </right>
      <top/>
      <bottom/>
      <diagonal/>
    </border>
    <border>
      <left style="double">
        <color indexed="64"/>
      </left>
      <right style="dotted">
        <color indexed="64"/>
      </right>
      <top/>
      <bottom/>
      <diagonal/>
    </border>
    <border>
      <left/>
      <right style="thin">
        <color indexed="64"/>
      </right>
      <top/>
      <bottom/>
      <diagonal/>
    </border>
  </borders>
  <cellStyleXfs count="43">
    <xf numFmtId="0" fontId="1" fillId="0" borderId="0"/>
    <xf numFmtId="0" fontId="2" fillId="0" borderId="0"/>
    <xf numFmtId="0" fontId="3" fillId="0" borderId="1"/>
    <xf numFmtId="0" fontId="4" fillId="0" borderId="2"/>
    <xf numFmtId="0" fontId="5" fillId="0" borderId="3"/>
    <xf numFmtId="0" fontId="5" fillId="0" borderId="0"/>
    <xf numFmtId="0" fontId="6" fillId="2" borderId="0"/>
    <xf numFmtId="0" fontId="7" fillId="3" borderId="0"/>
    <xf numFmtId="0" fontId="8" fillId="4" borderId="0"/>
    <xf numFmtId="0" fontId="9" fillId="5" borderId="4"/>
    <xf numFmtId="0" fontId="10" fillId="6" borderId="5"/>
    <xf numFmtId="0" fontId="11" fillId="6" borderId="4"/>
    <xf numFmtId="0" fontId="12" fillId="0" borderId="6"/>
    <xf numFmtId="0" fontId="13" fillId="7" borderId="7"/>
    <xf numFmtId="0" fontId="14" fillId="0" borderId="0"/>
    <xf numFmtId="0" fontId="1" fillId="8" borderId="8"/>
    <xf numFmtId="0" fontId="15" fillId="0" borderId="0"/>
    <xf numFmtId="0" fontId="16" fillId="0" borderId="9"/>
    <xf numFmtId="0" fontId="17" fillId="9" borderId="0"/>
    <xf numFmtId="0" fontId="1" fillId="10" borderId="0"/>
    <xf numFmtId="0" fontId="1" fillId="11" borderId="0"/>
    <xf numFmtId="0" fontId="1" fillId="12" borderId="0"/>
    <xf numFmtId="0" fontId="17" fillId="13" borderId="0"/>
    <xf numFmtId="0" fontId="1" fillId="14" borderId="0"/>
    <xf numFmtId="0" fontId="1" fillId="15" borderId="0"/>
    <xf numFmtId="0" fontId="1" fillId="16" borderId="0"/>
    <xf numFmtId="0" fontId="17" fillId="17" borderId="0"/>
    <xf numFmtId="0" fontId="1" fillId="18" borderId="0"/>
    <xf numFmtId="0" fontId="1" fillId="19" borderId="0"/>
    <xf numFmtId="0" fontId="1" fillId="20" borderId="0"/>
    <xf numFmtId="0" fontId="17" fillId="21" borderId="0"/>
    <xf numFmtId="0" fontId="1" fillId="22" borderId="0"/>
    <xf numFmtId="0" fontId="1" fillId="23" borderId="0"/>
    <xf numFmtId="0" fontId="1" fillId="24" borderId="0"/>
    <xf numFmtId="0" fontId="17" fillId="25" borderId="0"/>
    <xf numFmtId="0" fontId="1" fillId="26" borderId="0"/>
    <xf numFmtId="0" fontId="1" fillId="27" borderId="0"/>
    <xf numFmtId="0" fontId="1" fillId="28" borderId="0"/>
    <xf numFmtId="0" fontId="17" fillId="29" borderId="0"/>
    <xf numFmtId="0" fontId="1" fillId="30" borderId="0"/>
    <xf numFmtId="0" fontId="1" fillId="31" borderId="0"/>
    <xf numFmtId="0" fontId="1" fillId="32" borderId="0"/>
    <xf numFmtId="0" fontId="21" fillId="0" borderId="0"/>
  </cellStyleXfs>
  <cellXfs count="58">
    <xf numFmtId="0" fontId="0" fillId="0" borderId="0" pivotButton="0" quotePrefix="0" xfId="0"/>
    <xf numFmtId="0" fontId="0" fillId="0" borderId="0" applyAlignment="1" pivotButton="0" quotePrefix="0" xfId="0">
      <alignment wrapText="1"/>
    </xf>
    <xf numFmtId="0" fontId="0" fillId="0" borderId="10" pivotButton="0" quotePrefix="0" xfId="0"/>
    <xf numFmtId="0" fontId="16" fillId="0" borderId="0" pivotButton="0" quotePrefix="0" xfId="0"/>
    <xf numFmtId="0" fontId="18" fillId="0" borderId="0" pivotButton="0" quotePrefix="0" xfId="0"/>
    <xf numFmtId="0" fontId="0" fillId="0" borderId="12" pivotButton="0" quotePrefix="0" xfId="0"/>
    <xf numFmtId="49" fontId="18" fillId="0" borderId="0" pivotButton="0" quotePrefix="0" xfId="0"/>
    <xf numFmtId="0" fontId="0" fillId="33" borderId="0" pivotButton="0" quotePrefix="0" xfId="0"/>
    <xf numFmtId="0" fontId="0" fillId="34" borderId="0" pivotButton="0" quotePrefix="0" xfId="0"/>
    <xf numFmtId="0" fontId="0" fillId="35" borderId="0" pivotButton="0" quotePrefix="0" xfId="0"/>
    <xf numFmtId="0" fontId="0" fillId="34" borderId="13" applyAlignment="1" pivotButton="0" quotePrefix="0" xfId="0">
      <alignment wrapText="1"/>
    </xf>
    <xf numFmtId="0" fontId="0" fillId="36" borderId="0" pivotButton="0" quotePrefix="0" xfId="0"/>
    <xf numFmtId="0" fontId="16" fillId="37" borderId="0" pivotButton="0" quotePrefix="0" xfId="0"/>
    <xf numFmtId="0" fontId="21" fillId="35" borderId="0" pivotButton="0" quotePrefix="0" xfId="42"/>
    <xf numFmtId="0" fontId="0" fillId="38" borderId="10" pivotButton="0" quotePrefix="0" xfId="0"/>
    <xf numFmtId="0" fontId="0" fillId="38" borderId="0" pivotButton="0" quotePrefix="0" xfId="0"/>
    <xf numFmtId="0" fontId="0" fillId="38" borderId="11" pivotButton="0" quotePrefix="0" xfId="0"/>
    <xf numFmtId="0" fontId="16" fillId="0" borderId="0" pivotButton="0" quotePrefix="1" xfId="0"/>
    <xf numFmtId="0" fontId="0" fillId="39" borderId="0" pivotButton="0" quotePrefix="0" xfId="0"/>
    <xf numFmtId="0" fontId="0" fillId="40" borderId="0" pivotButton="0" quotePrefix="0" xfId="0"/>
    <xf numFmtId="0" fontId="16" fillId="38" borderId="10" pivotButton="0" quotePrefix="0" xfId="0"/>
    <xf numFmtId="0" fontId="16" fillId="38" borderId="0" pivotButton="0" quotePrefix="0" xfId="0"/>
    <xf numFmtId="0" fontId="16" fillId="38" borderId="11" pivotButton="0" quotePrefix="0" xfId="0"/>
    <xf numFmtId="0" fontId="16" fillId="0" borderId="10" pivotButton="0" quotePrefix="0" xfId="0"/>
    <xf numFmtId="0" fontId="19" fillId="0" borderId="0" pivotButton="0" quotePrefix="0" xfId="0"/>
    <xf numFmtId="0" fontId="16" fillId="35" borderId="0" pivotButton="0" quotePrefix="0" xfId="0"/>
    <xf numFmtId="0" fontId="16" fillId="33" borderId="0" pivotButton="0" quotePrefix="0" xfId="0"/>
    <xf numFmtId="0" fontId="16" fillId="39" borderId="0" pivotButton="0" quotePrefix="0" xfId="0"/>
    <xf numFmtId="0" fontId="16" fillId="40" borderId="0" pivotButton="0" quotePrefix="0" xfId="0"/>
    <xf numFmtId="0" fontId="19" fillId="34" borderId="0" pivotButton="0" quotePrefix="0" xfId="0"/>
    <xf numFmtId="0" fontId="19" fillId="36" borderId="0" pivotButton="0" quotePrefix="0" xfId="0"/>
    <xf numFmtId="0" fontId="19" fillId="0" borderId="12" pivotButton="0" quotePrefix="0" xfId="0"/>
    <xf numFmtId="0" fontId="16" fillId="34" borderId="13" pivotButton="0" quotePrefix="0" xfId="0"/>
    <xf numFmtId="0" fontId="0" fillId="0" borderId="0" applyAlignment="1" pivotButton="0" quotePrefix="0" xfId="0">
      <alignment vertical="center"/>
    </xf>
    <xf numFmtId="0" fontId="0" fillId="39" borderId="0" pivotButton="0" quotePrefix="1" xfId="0"/>
    <xf numFmtId="0" fontId="18" fillId="0" borderId="0" pivotButton="0" quotePrefix="1" xfId="0"/>
    <xf numFmtId="0" fontId="0" fillId="34" borderId="13" pivotButton="0" quotePrefix="0" xfId="0"/>
    <xf numFmtId="0" fontId="0" fillId="0" borderId="14" pivotButton="0" quotePrefix="0" xfId="0"/>
    <xf numFmtId="0" fontId="0" fillId="34" borderId="0" pivotButton="0" quotePrefix="1" xfId="0"/>
    <xf numFmtId="43" fontId="21" fillId="35" borderId="0" pivotButton="0" quotePrefix="0" xfId="42"/>
    <xf numFmtId="16" fontId="0" fillId="39" borderId="0" pivotButton="0" quotePrefix="1" xfId="0"/>
    <xf numFmtId="0" fontId="0" fillId="0" borderId="0" pivotButton="0" quotePrefix="0" xfId="0"/>
    <xf numFmtId="0" fontId="1" fillId="0" borderId="0" pivotButton="0" quotePrefix="0" xfId="0"/>
    <xf numFmtId="0" fontId="1" fillId="0" borderId="10" pivotButton="0" quotePrefix="0" xfId="0"/>
    <xf numFmtId="0" fontId="1" fillId="0" borderId="0" applyAlignment="1" pivotButton="0" quotePrefix="0" xfId="0">
      <alignment vertical="center"/>
    </xf>
    <xf numFmtId="0" fontId="1" fillId="33" borderId="0" pivotButton="0" quotePrefix="0" xfId="0"/>
    <xf numFmtId="16" fontId="1" fillId="39" borderId="0" pivotButton="0" quotePrefix="1" xfId="0"/>
    <xf numFmtId="0" fontId="1" fillId="40" borderId="0" pivotButton="0" quotePrefix="0" xfId="0"/>
    <xf numFmtId="0" fontId="1" fillId="34" borderId="0" pivotButton="0" quotePrefix="1" xfId="0"/>
    <xf numFmtId="0" fontId="1" fillId="0" borderId="12" pivotButton="0" quotePrefix="0" xfId="0"/>
    <xf numFmtId="0" fontId="1" fillId="34" borderId="13" pivotButton="0" quotePrefix="0" xfId="0"/>
    <xf numFmtId="0" fontId="1" fillId="39" borderId="0" pivotButton="0" quotePrefix="1" xfId="0"/>
    <xf numFmtId="0" fontId="1" fillId="34" borderId="0" pivotButton="0" quotePrefix="0" xfId="0"/>
    <xf numFmtId="0" fontId="1" fillId="36" borderId="0" pivotButton="0" quotePrefix="0" xfId="0"/>
    <xf numFmtId="0" fontId="1" fillId="0" borderId="0" pivotButton="0" quotePrefix="1" xfId="0"/>
    <xf numFmtId="0" fontId="21" fillId="35" borderId="0" pivotButton="0" quotePrefix="0" xfId="0"/>
    <xf numFmtId="0" fontId="1" fillId="0" borderId="0" pivotButton="0" quotePrefix="0" xfId="42"/>
    <xf numFmtId="0" fontId="1" fillId="0" borderId="14" pivotButton="0" quotePrefix="0" xfId="0"/>
  </cellXfs>
  <cellStyles count="4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Hyperlink" xfId="42"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legislature.idaho.gov/sessioninfo/2026/legislation/H0847/" TargetMode="External" Id="rId1"/><Relationship Type="http://schemas.openxmlformats.org/officeDocument/2006/relationships/hyperlink" Target="https://legislature.idaho.gov/sessioninfo/2026/legislation/H0847/" TargetMode="External" Id="rId2"/><Relationship Type="http://schemas.openxmlformats.org/officeDocument/2006/relationships/hyperlink" Target="https://legislature.idaho.gov/sessioninfo/2026/legislation/H0847/" TargetMode="External" Id="rId3"/><Relationship Type="http://schemas.openxmlformats.org/officeDocument/2006/relationships/hyperlink" Target="https://legislature.idaho.gov/sessioninfo/2026/legislation/H0848/" TargetMode="External" Id="rId4"/><Relationship Type="http://schemas.openxmlformats.org/officeDocument/2006/relationships/hyperlink" Target="https://legislature.idaho.gov/sessioninfo/2026/legislation/H0848/" TargetMode="External" Id="rId5"/><Relationship Type="http://schemas.openxmlformats.org/officeDocument/2006/relationships/hyperlink" Target="https://legislature.idaho.gov/sessioninfo/2026/legislation/H0848/" TargetMode="External" Id="rId6"/><Relationship Type="http://schemas.openxmlformats.org/officeDocument/2006/relationships/hyperlink" Target="https://legislature.idaho.gov/sessioninfo/2026/legislation/H0848/" TargetMode="External" Id="rId7"/><Relationship Type="http://schemas.openxmlformats.org/officeDocument/2006/relationships/hyperlink" Target="https://legislature.idaho.gov/sessioninfo/2026/legislation/S1363/" TargetMode="External" Id="rId8"/><Relationship Type="http://schemas.openxmlformats.org/officeDocument/2006/relationships/hyperlink" Target="https://legislature.idaho.gov/sessioninfo/2026/legislation/S1363/" TargetMode="External" Id="rId9"/><Relationship Type="http://schemas.openxmlformats.org/officeDocument/2006/relationships/hyperlink" Target="https://legislature.idaho.gov/sessioninfo/2026/legislation/S1363/" TargetMode="External" Id="rId10"/><Relationship Type="http://schemas.openxmlformats.org/officeDocument/2006/relationships/hyperlink" Target="https://legislature.idaho.gov/sessioninfo/2026/legislation/S1363/" TargetMode="External" Id="rId11"/><Relationship Type="http://schemas.openxmlformats.org/officeDocument/2006/relationships/hyperlink" Target="https://legislature.idaho.gov/sessioninfo/2026/legislation/S1363/" TargetMode="External" Id="rId12"/><Relationship Type="http://schemas.openxmlformats.org/officeDocument/2006/relationships/hyperlink" Target="https://legislature.idaho.gov/sessioninfo/2026/legislation/S1363/" TargetMode="External" Id="rId13"/><Relationship Type="http://schemas.openxmlformats.org/officeDocument/2006/relationships/hyperlink" Target="https://legislature.idaho.gov/sessioninfo/2026/legislation/S1361/" TargetMode="External" Id="rId14"/><Relationship Type="http://schemas.openxmlformats.org/officeDocument/2006/relationships/hyperlink" Target="https://legislature.idaho.gov/sessioninfo/2026/legislation/S1361/" TargetMode="External" Id="rId15"/><Relationship Type="http://schemas.openxmlformats.org/officeDocument/2006/relationships/hyperlink" Target="https://legislature.idaho.gov/sessioninfo/2026/legislation/S1361/" TargetMode="External" Id="rId16"/><Relationship Type="http://schemas.openxmlformats.org/officeDocument/2006/relationships/hyperlink" Target="https://legislature.idaho.gov/sessioninfo/2026/legislation/S1361/" TargetMode="External" Id="rId17"/><Relationship Type="http://schemas.openxmlformats.org/officeDocument/2006/relationships/hyperlink" Target="https://legislature.idaho.gov/sessioninfo/2026/legislation/S1361/" TargetMode="External" Id="rId18"/><Relationship Type="http://schemas.openxmlformats.org/officeDocument/2006/relationships/hyperlink" Target="https://legislature.idaho.gov/sessioninfo/2026/legislation/S1361/" TargetMode="External" Id="rId19"/><Relationship Type="http://schemas.openxmlformats.org/officeDocument/2006/relationships/hyperlink" Target="https://legislature.idaho.gov/sessioninfo/2026/legislation/S1361/" TargetMode="External" Id="rId20"/><Relationship Type="http://schemas.openxmlformats.org/officeDocument/2006/relationships/hyperlink" Target="https://legislature.idaho.gov/sessioninfo/2026/legislation/S1361/" TargetMode="External" Id="rId21"/><Relationship Type="http://schemas.openxmlformats.org/officeDocument/2006/relationships/hyperlink" Target="https://legislature.idaho.gov/sessioninfo/2026/legislation/S1361/" TargetMode="External" Id="rId22"/><Relationship Type="http://schemas.openxmlformats.org/officeDocument/2006/relationships/hyperlink" Target="https://legislature.idaho.gov/sessioninfo/2026/legislation/S1361/" TargetMode="External" Id="rId23"/><Relationship Type="http://schemas.openxmlformats.org/officeDocument/2006/relationships/hyperlink" Target="https://legislature.idaho.gov/sessioninfo/2026/legislation/S1361/" TargetMode="External" Id="rId24"/><Relationship Type="http://schemas.openxmlformats.org/officeDocument/2006/relationships/hyperlink" Target="https://legislature.idaho.gov/sessioninfo/2026/legislation/S1331/" TargetMode="External" Id="rId25"/><Relationship Type="http://schemas.openxmlformats.org/officeDocument/2006/relationships/hyperlink" Target="https://legislature.idaho.gov/sessioninfo/2026/legislation/S1380/" TargetMode="External" Id="rId26"/><Relationship Type="http://schemas.openxmlformats.org/officeDocument/2006/relationships/hyperlink" Target="https://legislature.idaho.gov/sessioninfo/2026/legislation/S1381/" TargetMode="External" Id="rId27"/><Relationship Type="http://schemas.openxmlformats.org/officeDocument/2006/relationships/hyperlink" Target="https://legislature.idaho.gov/sessioninfo/2026/legislation/S1385/" TargetMode="External" Id="rId28"/><Relationship Type="http://schemas.openxmlformats.org/officeDocument/2006/relationships/hyperlink" Target="https://legislature.idaho.gov/sessioninfo/2026/legislation/S1384/" TargetMode="External" Id="rId29"/><Relationship Type="http://schemas.openxmlformats.org/officeDocument/2006/relationships/hyperlink" Target="https://legislature.idaho.gov/sessioninfo/2026/legislation/S1382/" TargetMode="External" Id="rId30"/><Relationship Type="http://schemas.openxmlformats.org/officeDocument/2006/relationships/hyperlink" Target="https://legislature.idaho.gov/sessioninfo/2026/legislation/S1383/" TargetMode="External" Id="rId31"/><Relationship Type="http://schemas.openxmlformats.org/officeDocument/2006/relationships/hyperlink" Target="https://legislature.idaho.gov/sessioninfo/2026/legislation/S1373/" TargetMode="External" Id="rId32"/><Relationship Type="http://schemas.openxmlformats.org/officeDocument/2006/relationships/hyperlink" Target="https://legislature.idaho.gov/sessioninfo/2026/legislation/S1375/" TargetMode="External" Id="rId33"/><Relationship Type="http://schemas.openxmlformats.org/officeDocument/2006/relationships/hyperlink" Target="https://legislature.idaho.gov/sessioninfo/2026/legislation/H0847/" TargetMode="External" Id="rId34"/><Relationship Type="http://schemas.openxmlformats.org/officeDocument/2006/relationships/hyperlink" Target="https://legislature.idaho.gov/sessioninfo/2026/legislation/H0848/" TargetMode="External" Id="rId35"/><Relationship Type="http://schemas.openxmlformats.org/officeDocument/2006/relationships/hyperlink" Target="https://legislature.idaho.gov/sessioninfo/2026/legislation/S1363/" TargetMode="External" Id="rId36"/><Relationship Type="http://schemas.openxmlformats.org/officeDocument/2006/relationships/hyperlink" Target="https://legislature.idaho.gov/sessioninfo/2026/legislation/S1361/" TargetMode="External" Id="rId37"/><Relationship Type="http://schemas.openxmlformats.org/officeDocument/2006/relationships/hyperlink" Target="https://legislature.idaho.gov/sessioninfo/2026/legislation/S1362/" TargetMode="External" Id="rId38"/><Relationship Type="http://schemas.openxmlformats.org/officeDocument/2006/relationships/hyperlink" Target="https://legislature.idaho.gov/sessioninfo/2026/legislation/S1373/" TargetMode="External" Id="rId39"/><Relationship Type="http://schemas.openxmlformats.org/officeDocument/2006/relationships/hyperlink" Target="https://legislature.idaho.gov/sessioninfo/2026/legislation/S1373/" TargetMode="External" Id="rId40"/><Relationship Type="http://schemas.openxmlformats.org/officeDocument/2006/relationships/hyperlink" Target="https://legislature.idaho.gov/sessioninfo/2026/legislation/S1373/" TargetMode="External" Id="rId41"/><Relationship Type="http://schemas.openxmlformats.org/officeDocument/2006/relationships/hyperlink" Target="https://legislature.idaho.gov/sessioninfo/2026/legislation/S1373/" TargetMode="External" Id="rId42"/><Relationship Type="http://schemas.openxmlformats.org/officeDocument/2006/relationships/hyperlink" Target="https://legislature.idaho.gov/sessioninfo/2026/legislation/S1373/" TargetMode="External" Id="rId43"/><Relationship Type="http://schemas.openxmlformats.org/officeDocument/2006/relationships/hyperlink" Target="https://legislature.idaho.gov/sessioninfo/2026/legislation/S1373/" TargetMode="External" Id="rId44"/><Relationship Type="http://schemas.openxmlformats.org/officeDocument/2006/relationships/hyperlink" Target="https://legislature.idaho.gov/sessioninfo/2026/legislation/S1373/" TargetMode="External" Id="rId45"/><Relationship Type="http://schemas.openxmlformats.org/officeDocument/2006/relationships/hyperlink" Target="https://legislature.idaho.gov/sessioninfo/2026/legislation/S1373/" TargetMode="External" Id="rId46"/><Relationship Type="http://schemas.openxmlformats.org/officeDocument/2006/relationships/hyperlink" Target="https://legislature.idaho.gov/sessioninfo/2026/legislation/S1373/" TargetMode="External" Id="rId47"/><Relationship Type="http://schemas.openxmlformats.org/officeDocument/2006/relationships/hyperlink" Target="https://legislature.idaho.gov/sessioninfo/2026/legislation/S1373/" TargetMode="External" Id="rId48"/><Relationship Type="http://schemas.openxmlformats.org/officeDocument/2006/relationships/hyperlink" Target="https://legislature.idaho.gov/sessioninfo/2026/legislation/S1373/" TargetMode="External" Id="rId49"/><Relationship Type="http://schemas.openxmlformats.org/officeDocument/2006/relationships/hyperlink" Target="https://legislature.idaho.gov/sessioninfo/2026/legislation/S1373/" TargetMode="External" Id="rId50"/><Relationship Type="http://schemas.openxmlformats.org/officeDocument/2006/relationships/hyperlink" Target="https://legislature.idaho.gov/sessioninfo/2026/legislation/S1373/" TargetMode="External" Id="rId51"/><Relationship Type="http://schemas.openxmlformats.org/officeDocument/2006/relationships/hyperlink" Target="https://legislature.idaho.gov/sessioninfo/2026/legislation/S1373/" TargetMode="External" Id="rId52"/><Relationship Type="http://schemas.openxmlformats.org/officeDocument/2006/relationships/hyperlink" Target="https://legislature.idaho.gov/sessioninfo/2026/legislation/S1373/" TargetMode="External" Id="rId53"/><Relationship Type="http://schemas.openxmlformats.org/officeDocument/2006/relationships/hyperlink" Target="https://legislature.idaho.gov/sessioninfo/2026/legislation/S1373/" TargetMode="External" Id="rId54"/><Relationship Type="http://schemas.openxmlformats.org/officeDocument/2006/relationships/hyperlink" Target="https://legislature.idaho.gov/sessioninfo/2026/legislation/S1373/" TargetMode="External" Id="rId55"/><Relationship Type="http://schemas.openxmlformats.org/officeDocument/2006/relationships/hyperlink" Target="https://legislature.idaho.gov/sessioninfo/2026/legislation/S1373/" TargetMode="External" Id="rId56"/><Relationship Type="http://schemas.openxmlformats.org/officeDocument/2006/relationships/hyperlink" Target="https://legislature.idaho.gov/sessioninfo/2026/legislation/S1373/" TargetMode="External" Id="rId57"/><Relationship Type="http://schemas.openxmlformats.org/officeDocument/2006/relationships/hyperlink" Target="https://legislature.idaho.gov/sessioninfo/2026/legislation/S1373/" TargetMode="External" Id="rId58"/><Relationship Type="http://schemas.openxmlformats.org/officeDocument/2006/relationships/hyperlink" Target="https://legislature.idaho.gov/sessioninfo/2026/legislation/S1373/" TargetMode="External" Id="rId59"/><Relationship Type="http://schemas.openxmlformats.org/officeDocument/2006/relationships/hyperlink" Target="https://legislature.idaho.gov/sessioninfo/2026/legislation/S1373/" TargetMode="External" Id="rId60"/><Relationship Type="http://schemas.openxmlformats.org/officeDocument/2006/relationships/hyperlink" Target="https://legislature.idaho.gov/sessioninfo/2026/legislation/S1373/" TargetMode="External" Id="rId61"/><Relationship Type="http://schemas.openxmlformats.org/officeDocument/2006/relationships/hyperlink" Target="https://legislature.idaho.gov/sessioninfo/2026/legislation/S1373/" TargetMode="External" Id="rId62"/><Relationship Type="http://schemas.openxmlformats.org/officeDocument/2006/relationships/hyperlink" Target="https://legislature.idaho.gov/sessioninfo/2026/legislation/S1375/" TargetMode="External" Id="rId63"/><Relationship Type="http://schemas.openxmlformats.org/officeDocument/2006/relationships/hyperlink" Target="https://legislature.idaho.gov/sessioninfo/2026/legislation/S1375/" TargetMode="External" Id="rId64"/><Relationship Type="http://schemas.openxmlformats.org/officeDocument/2006/relationships/hyperlink" Target="https://legislature.idaho.gov/sessioninfo/2026/legislation/S1375/" TargetMode="External" Id="rId65"/><Relationship Type="http://schemas.openxmlformats.org/officeDocument/2006/relationships/hyperlink" Target="https://legislature.idaho.gov/sessioninfo/2026/legislation/S1375/" TargetMode="External" Id="rId66"/><Relationship Type="http://schemas.openxmlformats.org/officeDocument/2006/relationships/hyperlink" Target="https://legislature.idaho.gov/sessioninfo/2026/legislation/S1375/" TargetMode="External" Id="rId67"/><Relationship Type="http://schemas.openxmlformats.org/officeDocument/2006/relationships/hyperlink" Target="https://legislature.idaho.gov/sessioninfo/2026/legislation/S1375/" TargetMode="External" Id="rId68"/><Relationship Type="http://schemas.openxmlformats.org/officeDocument/2006/relationships/hyperlink" Target="https://legislature.idaho.gov/sessioninfo/2026/legislation/S1375/" TargetMode="External" Id="rId69"/><Relationship Type="http://schemas.openxmlformats.org/officeDocument/2006/relationships/hyperlink" Target="https://legislature.idaho.gov/sessioninfo/2026/legislation/S1375/" TargetMode="External" Id="rId70"/><Relationship Type="http://schemas.openxmlformats.org/officeDocument/2006/relationships/hyperlink" Target="https://legislature.idaho.gov/sessioninfo/2026/legislation/S1375/" TargetMode="External" Id="rId71"/><Relationship Type="http://schemas.openxmlformats.org/officeDocument/2006/relationships/hyperlink" Target="https://legislature.idaho.gov/sessioninfo/2026/legislation/S1375/" TargetMode="External" Id="rId72"/><Relationship Type="http://schemas.openxmlformats.org/officeDocument/2006/relationships/hyperlink" Target="https://legislature.idaho.gov/sessioninfo/2026/legislation/S1375/" TargetMode="External" Id="rId73"/><Relationship Type="http://schemas.openxmlformats.org/officeDocument/2006/relationships/hyperlink" Target="https://legislature.idaho.gov/sessioninfo/2026/legislation/S1375/" TargetMode="External" Id="rId74"/><Relationship Type="http://schemas.openxmlformats.org/officeDocument/2006/relationships/hyperlink" Target="https://legislature.idaho.gov/sessioninfo/2026/legislation/S1375/" TargetMode="External" Id="rId75"/><Relationship Type="http://schemas.openxmlformats.org/officeDocument/2006/relationships/hyperlink" Target="https://legislature.idaho.gov/sessioninfo/2026/legislation/S1362/" TargetMode="External" Id="rId76"/><Relationship Type="http://schemas.openxmlformats.org/officeDocument/2006/relationships/hyperlink" Target="https://legislature.idaho.gov/sessioninfo/2026/legislation/S1362/" TargetMode="External" Id="rId77"/><Relationship Type="http://schemas.openxmlformats.org/officeDocument/2006/relationships/hyperlink" Target="https://legislature.idaho.gov/sessioninfo/2026/legislation/S1362/" TargetMode="External" Id="rId78"/><Relationship Type="http://schemas.openxmlformats.org/officeDocument/2006/relationships/hyperlink" Target="https://legislature.idaho.gov/sessioninfo/2026/legislation/S1362/" TargetMode="External" Id="rId79"/><Relationship Type="http://schemas.openxmlformats.org/officeDocument/2006/relationships/hyperlink" Target="https://legislature.idaho.gov/sessioninfo/2026/legislation/S1362/" TargetMode="External" Id="rId80"/><Relationship Type="http://schemas.openxmlformats.org/officeDocument/2006/relationships/hyperlink" Target="https://legislature.idaho.gov/sessioninfo/2026/legislation/S1362/" TargetMode="External" Id="rId81"/><Relationship Type="http://schemas.openxmlformats.org/officeDocument/2006/relationships/hyperlink" Target="https://legislature.idaho.gov/sessioninfo/2026/legislation/S1362/" TargetMode="External" Id="rId82"/><Relationship Type="http://schemas.openxmlformats.org/officeDocument/2006/relationships/hyperlink" Target="https://legislature.idaho.gov/sessioninfo/2026/legislation/S1362/" TargetMode="External" Id="rId83"/><Relationship Type="http://schemas.openxmlformats.org/officeDocument/2006/relationships/hyperlink" Target="https://legislature.idaho.gov/sessioninfo/2026/legislation/S1362/" TargetMode="External" Id="rId84"/></Relationships>
</file>

<file path=xl/worksheets/sheet1.xml><?xml version="1.0" encoding="utf-8"?>
<worksheet xmlns="http://schemas.openxmlformats.org/spreadsheetml/2006/main">
  <sheetPr>
    <outlinePr summaryBelow="1" summaryRight="1"/>
    <pageSetUpPr/>
  </sheetPr>
  <dimension ref="A1:BC351"/>
  <sheetViews>
    <sheetView tabSelected="1" topLeftCell="A327" zoomScaleNormal="100" workbookViewId="0">
      <selection activeCell="A1" sqref="A1:E351"/>
    </sheetView>
  </sheetViews>
  <sheetFormatPr baseColWidth="8" defaultRowHeight="14.4"/>
  <cols>
    <col width="9.6640625" customWidth="1" style="14" min="1" max="1"/>
    <col width="8.5546875" customWidth="1" style="15" min="2" max="2"/>
    <col width="6.5546875" customWidth="1" style="15" min="3" max="3"/>
    <col width="12.6640625" customWidth="1" style="15" min="4" max="4"/>
    <col width="12.109375" customWidth="1" style="16" min="5" max="5"/>
    <col width="4.44140625" bestFit="1" customWidth="1" style="41" min="6" max="6"/>
    <col width="16.5546875" bestFit="1" customWidth="1" style="41" min="7" max="7"/>
    <col width="5" bestFit="1" customWidth="1" style="41" min="8" max="8"/>
    <col width="3.6640625" bestFit="1" customWidth="1" style="2" min="9" max="9"/>
    <col width="21.88671875" bestFit="1" customWidth="1" style="41" min="10" max="10"/>
    <col width="4.44140625" bestFit="1" customWidth="1" style="41" min="11" max="11"/>
    <col width="5.6640625" bestFit="1" customWidth="1" style="4" min="12" max="12"/>
    <col width="4.44140625" bestFit="1" customWidth="1" style="41" min="13" max="13"/>
    <col width="34.6640625" bestFit="1" customWidth="1" style="41" min="14" max="14"/>
    <col width="5" customWidth="1" style="41" min="15" max="15"/>
    <col width="5.6640625" bestFit="1" customWidth="1" style="4" min="16" max="16"/>
    <col width="4.44140625" bestFit="1" customWidth="1" style="41" min="17" max="17"/>
    <col width="38.77734375" bestFit="1" customWidth="1" style="41" min="18" max="18"/>
    <col width="5" customWidth="1" style="41" min="19" max="19"/>
    <col width="4.44140625" bestFit="1" customWidth="1" style="2" min="20" max="20"/>
    <col width="8.88671875" bestFit="1" customWidth="1" style="41" min="21" max="21"/>
    <col width="6.6640625" customWidth="1" style="9" min="22" max="22"/>
    <col width="3" bestFit="1" customWidth="1" style="41" min="23" max="23"/>
    <col width="21.5546875" bestFit="1" customWidth="1" style="12" min="24" max="24"/>
    <col width="5" customWidth="1" style="41" min="25" max="26"/>
    <col width="4.44140625" bestFit="1" customWidth="1" style="2" min="27" max="27"/>
    <col width="13.88671875" bestFit="1" customWidth="1" style="7" min="28" max="28"/>
    <col width="5" customWidth="1" style="1" min="29" max="29"/>
    <col width="4.44140625" bestFit="1" customWidth="1" style="2" min="30" max="30"/>
    <col width="5.6640625" bestFit="1" customWidth="1" style="18" min="31" max="31"/>
    <col width="1.88671875" bestFit="1" customWidth="1" style="41" min="32" max="32"/>
    <col width="23.77734375" customWidth="1" style="41" min="33" max="33"/>
    <col width="5" bestFit="1" customWidth="1" style="41" min="34" max="34"/>
    <col width="45" bestFit="1" customWidth="1" style="4" min="35" max="35"/>
    <col width="5" bestFit="1" customWidth="1" style="4" min="36" max="36"/>
    <col width="23.33203125" customWidth="1" style="41" min="37" max="37"/>
    <col width="4.109375" bestFit="1" customWidth="1" style="41" min="38" max="38"/>
    <col width="12.6640625" bestFit="1" customWidth="1" style="4" min="39" max="39"/>
    <col width="4" bestFit="1" customWidth="1" style="4" min="40" max="40"/>
    <col width="32.21875" bestFit="1" customWidth="1" style="19" min="41" max="41"/>
    <col width="2.6640625" bestFit="1" customWidth="1" style="6" min="42" max="42"/>
    <col width="8.33203125" bestFit="1" customWidth="1" style="4" min="43" max="43"/>
    <col width="8.88671875" bestFit="1" customWidth="1" style="4" min="44" max="44"/>
    <col width="7.109375" bestFit="1" customWidth="1" style="8" min="45" max="45"/>
    <col width="2.44140625" customWidth="1" style="4" min="46" max="46"/>
    <col width="4.44140625" bestFit="1" customWidth="1" style="11" min="47" max="47"/>
    <col width="6.109375" bestFit="1" customWidth="1" style="4" min="48" max="48"/>
    <col width="11.77734375" bestFit="1" customWidth="1" style="11" min="49" max="49"/>
    <col width="5.6640625" bestFit="1" customWidth="1" style="5" min="50" max="50"/>
    <col width="5.33203125" bestFit="1" customWidth="1" style="4" min="51" max="51"/>
    <col width="24.33203125" customWidth="1" style="41" min="52" max="52"/>
    <col width="60.109375" customWidth="1" style="10" min="53" max="53"/>
  </cols>
  <sheetData>
    <row r="1" customFormat="1" s="3">
      <c r="A1" s="20" t="inlineStr">
        <is>
          <t>Budget</t>
        </is>
      </c>
      <c r="B1" s="21" t="inlineStr">
        <is>
          <t>Program</t>
        </is>
      </c>
      <c r="C1" s="21" t="inlineStr">
        <is>
          <t>Bill</t>
        </is>
      </c>
      <c r="D1" s="21" t="inlineStr">
        <is>
          <t>Status</t>
        </is>
      </c>
      <c r="E1" s="22" t="inlineStr">
        <is>
          <t>Description</t>
        </is>
      </c>
      <c r="F1" s="3" t="inlineStr">
        <is>
          <t>&lt;&gt;</t>
        </is>
      </c>
      <c r="G1" s="3" t="inlineStr">
        <is>
          <t>BUDGET</t>
        </is>
      </c>
      <c r="H1" s="3" t="inlineStr">
        <is>
          <t>&lt;/&gt;</t>
        </is>
      </c>
      <c r="I1" s="23" t="inlineStr">
        <is>
          <t>&lt;&gt;</t>
        </is>
      </c>
      <c r="J1" s="3" t="inlineStr">
        <is>
          <t>PROGRAM</t>
        </is>
      </c>
      <c r="K1" s="3" t="inlineStr">
        <is>
          <t>&lt;/&gt;</t>
        </is>
      </c>
      <c r="L1" s="24" t="inlineStr">
        <is>
          <t>&lt;br&gt;</t>
        </is>
      </c>
      <c r="M1" s="3" t="inlineStr">
        <is>
          <t>&lt;&gt;</t>
        </is>
      </c>
      <c r="N1" s="3" t="inlineStr">
        <is>
          <t>_</t>
        </is>
      </c>
      <c r="O1" s="3" t="inlineStr">
        <is>
          <t>&lt;/&gt;</t>
        </is>
      </c>
      <c r="P1" s="24" t="inlineStr">
        <is>
          <t>&lt;br&gt;</t>
        </is>
      </c>
      <c r="Q1" s="3" t="inlineStr">
        <is>
          <t>&lt;&gt;</t>
        </is>
      </c>
      <c r="R1" s="3" t="inlineStr">
        <is>
          <t>_</t>
        </is>
      </c>
      <c r="S1" s="3" t="inlineStr">
        <is>
          <t>&lt;/&gt;</t>
        </is>
      </c>
      <c r="T1" s="23" t="inlineStr">
        <is>
          <t>&lt;&gt;</t>
        </is>
      </c>
      <c r="U1" s="3" t="inlineStr">
        <is>
          <t>&lt;a href="</t>
        </is>
      </c>
      <c r="V1" s="25" t="inlineStr">
        <is>
          <t>LINK</t>
        </is>
      </c>
      <c r="W1" s="17" t="inlineStr">
        <is>
          <t>"&gt;</t>
        </is>
      </c>
      <c r="X1" s="12" t="inlineStr">
        <is>
          <t>BILL</t>
        </is>
      </c>
      <c r="Y1" s="3" t="inlineStr">
        <is>
          <t>&lt;/a&gt;</t>
        </is>
      </c>
      <c r="Z1" s="3" t="inlineStr">
        <is>
          <t>&lt;/&gt;</t>
        </is>
      </c>
      <c r="AA1" s="23" t="inlineStr">
        <is>
          <t>&lt;&gt;</t>
        </is>
      </c>
      <c r="AB1" s="26" t="inlineStr">
        <is>
          <t>STATUS</t>
        </is>
      </c>
      <c r="AC1" s="3" t="inlineStr">
        <is>
          <t>&lt;/&gt;</t>
        </is>
      </c>
      <c r="AD1" s="23" t="inlineStr">
        <is>
          <t>&lt;&gt;</t>
        </is>
      </c>
      <c r="AE1" s="27" t="inlineStr">
        <is>
          <t>DATE</t>
        </is>
      </c>
      <c r="AF1" s="3" t="inlineStr">
        <is>
          <t>:</t>
        </is>
      </c>
      <c r="AG1" s="3" t="inlineStr">
        <is>
          <t>ACTION1</t>
        </is>
      </c>
      <c r="AH1" s="3" t="inlineStr">
        <is>
          <t>&lt;/&gt;</t>
        </is>
      </c>
      <c r="AI1" s="3" t="inlineStr">
        <is>
          <t>HISTORY</t>
        </is>
      </c>
      <c r="AJ1" s="23" t="inlineStr">
        <is>
          <t>&lt;br+hist&gt;</t>
        </is>
      </c>
      <c r="AK1" s="24" t="inlineStr">
        <is>
          <t>&lt;br&gt;</t>
        </is>
      </c>
      <c r="AL1" s="3" t="inlineStr">
        <is>
          <t>&lt;&gt;</t>
        </is>
      </c>
      <c r="AM1" s="3" t="inlineStr">
        <is>
          <t>_</t>
        </is>
      </c>
      <c r="AN1" s="3" t="inlineStr">
        <is>
          <t>&lt;/&gt;</t>
        </is>
      </c>
      <c r="AO1" s="24" t="inlineStr">
        <is>
          <t>&lt;br&gt;</t>
        </is>
      </c>
      <c r="AP1" s="24" t="inlineStr">
        <is>
          <t>&lt;&gt;</t>
        </is>
      </c>
      <c r="AQ1" s="28" t="inlineStr">
        <is>
          <t>_</t>
        </is>
      </c>
      <c r="AR1" s="24" t="inlineStr">
        <is>
          <t>#</t>
        </is>
      </c>
      <c r="AS1" s="24" t="inlineStr">
        <is>
          <t xml:space="preserve">% </t>
        </is>
      </c>
      <c r="AT1" s="24" t="inlineStr">
        <is>
          <t>&lt;&gt;(_</t>
        </is>
      </c>
      <c r="AU1" s="29" t="inlineStr">
        <is>
          <t>#</t>
        </is>
      </c>
      <c r="AV1" s="24" t="inlineStr">
        <is>
          <t>,</t>
        </is>
      </c>
      <c r="AW1" s="30" t="inlineStr">
        <is>
          <t>##</t>
        </is>
      </c>
      <c r="AX1" s="24" t="inlineStr">
        <is>
          <t>,</t>
        </is>
      </c>
      <c r="AY1" s="30" t="n"/>
      <c r="AZ1" s="31" t="inlineStr">
        <is>
          <t>)_&lt;/&gt;</t>
        </is>
      </c>
      <c r="BA1" s="24" t="inlineStr">
        <is>
          <t>&lt;br&gt;</t>
        </is>
      </c>
      <c r="BB1" s="3" t="inlineStr">
        <is>
          <t>TEXT</t>
        </is>
      </c>
      <c r="BC1" s="32" t="inlineStr">
        <is>
          <t>DFM</t>
        </is>
      </c>
    </row>
    <row r="2">
      <c r="A2" s="20">
        <f>_xlfn.TEXTJOIN("", TRUE, F2:H2)</f>
        <v/>
      </c>
      <c r="B2" s="21">
        <f>_xlfn.TEXTJOIN("", TRUE, I2:S2)</f>
        <v/>
      </c>
      <c r="C2" s="21">
        <f>IF(ISBLANK(X2),"", _xlfn.TEXTJOIN("",TRUE,T2:Z2))</f>
        <v/>
      </c>
      <c r="D2" s="21">
        <f>IF(ISBLANK(AB2), "", _xlfn.TEXTJOIN("", TRUE, AA2:AC2))</f>
        <v/>
      </c>
      <c r="E2" s="22">
        <f>IF(AU2="NA", _xlfn.TEXTJOIN("", TRUE, AD2:AH2), _xlfn.TEXTJOIN("", TRUE, AD2:AJ2))</f>
        <v/>
      </c>
      <c r="F2" s="42">
        <f>IF(LEFT(G2,4)="FY26","&lt;b&gt;","&lt;i&gt;")</f>
        <v/>
      </c>
      <c r="G2" s="42" t="inlineStr">
        <is>
          <t>FY27 Maintenance</t>
        </is>
      </c>
      <c r="H2" s="42">
        <f>IF(LEFT(G2,4)="FY26","&lt;/b&gt;","&lt;/i&gt;")</f>
        <v/>
      </c>
      <c r="I2" s="43" t="inlineStr">
        <is>
          <t>&lt;i&gt;</t>
        </is>
      </c>
      <c r="J2" s="44" t="inlineStr">
        <is>
          <t>Judicial Branch</t>
        </is>
      </c>
      <c r="K2" s="44" t="inlineStr">
        <is>
          <t>&lt;/i&gt;</t>
        </is>
      </c>
      <c r="L2" s="4">
        <f>IF(ISBLANK(N2),"","&lt;br&gt;")</f>
        <v/>
      </c>
      <c r="M2" s="42">
        <f>IF(ISBLANK(R2),"&lt;b&gt;","&lt;i&gt;")</f>
        <v/>
      </c>
      <c r="N2" s="42" t="inlineStr">
        <is>
          <t>Court Operations</t>
        </is>
      </c>
      <c r="O2" s="42">
        <f>IF(ISBLANK(R2),"&lt;/b&gt;","&lt;/i&gt;")</f>
        <v/>
      </c>
      <c r="P2" s="4">
        <f>IF(ISBLANK(R2),"","&lt;br&gt;")</f>
        <v/>
      </c>
      <c r="Q2" s="42">
        <f>IF(ISBLANK(R2),"","&lt;b&gt;")</f>
        <v/>
      </c>
      <c r="R2" s="42" t="n"/>
      <c r="S2" s="42">
        <f>IF(ISBLANK(R2),"","&lt;/i&gt;")</f>
        <v/>
      </c>
      <c r="T2" s="43">
        <f>IF(ISBLANK(X2),"",IF(OR(AB2="PASSED",ISBLANK(N2)),"&lt;b&gt;","&lt;i&gt;"))</f>
        <v/>
      </c>
      <c r="U2" s="3">
        <f>IF(ISBLANK(V2),"","&lt;a href='")</f>
        <v/>
      </c>
      <c r="V2" s="39" t="inlineStr">
        <is>
          <t>https://legislature.idaho.gov/sessioninfo/2026/legislation/H0847/</t>
        </is>
      </c>
      <c r="W2" s="17">
        <f>IF(ISBLANK(V2),"","'&gt;")</f>
        <v/>
      </c>
      <c r="X2" s="12" t="inlineStr">
        <is>
          <t>House Bill 847</t>
        </is>
      </c>
      <c r="Y2" s="17">
        <f>IF(ISBLANK(X2),"","&lt;/a&gt;")</f>
        <v/>
      </c>
      <c r="Z2" s="42">
        <f>IF(ISBLANK(X2),"",IF(OR(AB2="PASSED",ISBLANK(N2)),"&lt;/b&gt;","&lt;/i&gt;"))</f>
        <v/>
      </c>
      <c r="AA2" s="43">
        <f>IF(AB2="PASSED","&lt;b&gt;","")</f>
        <v/>
      </c>
      <c r="AB2" s="45" t="inlineStr">
        <is>
          <t>ADVANCED</t>
        </is>
      </c>
      <c r="AC2" s="43">
        <f>IF(AB2="PASSED","&lt;/b&gt;","")</f>
        <v/>
      </c>
      <c r="AD2" s="43">
        <f>IF(ISBLANK(AE2),"","&lt;b&gt;")</f>
        <v/>
      </c>
      <c r="AE2" s="46" t="inlineStr">
        <is>
          <t>03/10</t>
        </is>
      </c>
      <c r="AF2" s="42">
        <f>IF(ISBLANK(AE2),"",": ")</f>
        <v/>
      </c>
      <c r="AG2" s="42" t="inlineStr">
        <is>
          <t>House Vote 59-7</t>
        </is>
      </c>
      <c r="AH2" s="42">
        <f>IF(ISBLANK(AE2),"","&lt;/b&gt;")</f>
        <v/>
      </c>
      <c r="AI2" s="42" t="inlineStr">
        <is>
          <t>02/13: FY27 reduction (-5%)</t>
        </is>
      </c>
      <c r="AJ2" s="42">
        <f>IF(ISBLANK(AI2),"","&lt;br&gt;"&amp;AI2)</f>
        <v/>
      </c>
      <c r="AK2" s="4" t="inlineStr">
        <is>
          <t>&lt;br&gt;</t>
        </is>
      </c>
      <c r="AL2" s="42" t="inlineStr">
        <is>
          <t>&lt;b&gt;&lt;i&gt;</t>
        </is>
      </c>
      <c r="AM2" s="42" t="inlineStr">
        <is>
          <t>Governor's 3% + JFAC's 2%</t>
        </is>
      </c>
      <c r="AN2" s="42">
        <f>IF(ISBLANK(AM2),"","&lt;/i&gt;")</f>
        <v/>
      </c>
      <c r="AO2" s="35">
        <f>IF(ISBLANK(AQ2),"","&lt;/b&gt;&lt;br&gt;&lt;br&gt;")</f>
        <v/>
      </c>
      <c r="AP2" s="42">
        <f>IF(ISBLANK(AQ2),"","&lt;b&gt;")</f>
        <v/>
      </c>
      <c r="AQ2" s="47" t="inlineStr">
        <is>
          <t xml:space="preserve">Agency Reduction Plan:&lt;br&gt;Additional </t>
        </is>
      </c>
      <c r="AR2" s="42" t="n">
        <v>2</v>
      </c>
      <c r="AS2" s="4">
        <f>IF(ISBLANK(AR2),""," %")</f>
        <v/>
      </c>
      <c r="AT2" s="4">
        <f t="array" ref="AT2">_xlfn.IFS(NOT(ISBLANK(AU2))," (pgs. ",NOT(ISBLANK(AS2))," (pg. ", ISBLANK(AS2), "")</f>
        <v/>
      </c>
      <c r="AU2" s="48" t="n">
        <v>108</v>
      </c>
      <c r="AV2" s="4">
        <f>IF(ISBLANK(AW2),"",", ")</f>
        <v/>
      </c>
      <c r="AW2" s="42" t="n"/>
      <c r="AX2" s="4">
        <f>IF(ISBLANK(AY2),"",",&lt;br&gt;")</f>
        <v/>
      </c>
      <c r="AY2" s="42" t="n"/>
      <c r="AZ2" s="49">
        <f>IF(ISBLANK(AU2),"",")&lt;/b&gt;")</f>
        <v/>
      </c>
      <c r="BA2" s="4">
        <f>IF(ISBLANK(BC2),"","&lt;br&gt;")</f>
        <v/>
      </c>
      <c r="BB2" s="42">
        <f t="array" ref="BB2">IF(ISBLANK(BC2),"",_xlfn.LET(
_xlpm.words,_xlfn.TEXTSPLIT(TRIM(BC2),"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 s="50" t="inlineStr">
        <is>
          <t>In developing this proposal, the Court carefully evaluated the potential impact of these reductions on court services and related programs and sought to minimize adverse effects. The proposed reductions are achieved primarily by reallocating certain expenditures currently funded by general fund appropriations to the Court’s dedicated funds, thereby avoiding reductions to services in the current year... Should the necessary spending authority increases not be approved, the Court would be required to implement direct reductions to essential court services and systems. These actions would include cuts to treatment courts, family court services, and child protection programs, as well as the elimination of certain court technology systems that support the statewide network. Decreased funding for treatment services would limit the number of persons that could be admitted to our treatment courts, removing that sentencing option for high-risk, high-need individuals. Reductions in family court services would result in delayed case processing and reduced access to critical support services for families and children. Reduced investment in statewide network security would increase the risk of system vulnerabilities, service disruptions, and potential data breaches, compromising the integrity and availability of court operations statewide.</t>
        </is>
      </c>
    </row>
    <row r="3">
      <c r="A3" s="20">
        <f>_xlfn.TEXTJOIN("", TRUE, F3:H3)</f>
        <v/>
      </c>
      <c r="B3" s="21">
        <f>_xlfn.TEXTJOIN("", TRUE, I3:S3)</f>
        <v/>
      </c>
      <c r="C3" s="21">
        <f>IF(ISBLANK(X3),"", _xlfn.TEXTJOIN("",TRUE,T3:Z3))</f>
        <v/>
      </c>
      <c r="D3" s="21">
        <f>IF(ISBLANK(AB3), "", _xlfn.TEXTJOIN("", TRUE, AA3:AC3))</f>
        <v/>
      </c>
      <c r="E3" s="22">
        <f>IF(AU3="NA", _xlfn.TEXTJOIN("", TRUE, AD3:AH3), _xlfn.TEXTJOIN("", TRUE, AD3:AJ3))</f>
        <v/>
      </c>
      <c r="F3" s="42">
        <f>IF(LEFT(G3,4)="FY26","&lt;b&gt;","&lt;i&gt;")</f>
        <v/>
      </c>
      <c r="G3" s="42" t="inlineStr">
        <is>
          <t>FY27 Maintenance</t>
        </is>
      </c>
      <c r="H3" s="42">
        <f>IF(LEFT(G3,4)="FY26","&lt;/b&gt;","&lt;/i&gt;")</f>
        <v/>
      </c>
      <c r="I3" s="43" t="inlineStr">
        <is>
          <t>&lt;i&gt;</t>
        </is>
      </c>
      <c r="J3" s="44" t="inlineStr">
        <is>
          <t>Judicial Branch</t>
        </is>
      </c>
      <c r="K3" s="44" t="inlineStr">
        <is>
          <t>&lt;/i&gt;</t>
        </is>
      </c>
      <c r="L3" s="4">
        <f>IF(ISBLANK(N3),"","&lt;br&gt;")</f>
        <v/>
      </c>
      <c r="M3" s="42">
        <f>IF(ISBLANK(R3),"&lt;b&gt;","&lt;i&gt;")</f>
        <v/>
      </c>
      <c r="N3" s="42" t="inlineStr">
        <is>
          <t>Guardian Ad Litem Program</t>
        </is>
      </c>
      <c r="O3" s="42">
        <f>IF(ISBLANK(R3),"&lt;/b&gt;","&lt;/i&gt;")</f>
        <v/>
      </c>
      <c r="P3" s="4">
        <f>IF(ISBLANK(R3),"","&lt;br&gt;")</f>
        <v/>
      </c>
      <c r="Q3" s="42">
        <f>IF(ISBLANK(R3),"","&lt;b&gt;")</f>
        <v/>
      </c>
      <c r="R3" s="42" t="n"/>
      <c r="S3" s="42">
        <f>IF(ISBLANK(R3),"","&lt;/i&gt;")</f>
        <v/>
      </c>
      <c r="T3" s="43">
        <f>IF(ISBLANK(X3),"",IF(OR(AB3="PASSED",ISBLANK(N3)),"&lt;b&gt;","&lt;i&gt;"))</f>
        <v/>
      </c>
      <c r="U3" s="3">
        <f>IF(ISBLANK(V3),"","&lt;a href='")</f>
        <v/>
      </c>
      <c r="V3" s="39" t="inlineStr">
        <is>
          <t>https://legislature.idaho.gov/sessioninfo/2026/legislation/H0847/</t>
        </is>
      </c>
      <c r="W3" s="17">
        <f>IF(ISBLANK(V3),"","'&gt;")</f>
        <v/>
      </c>
      <c r="X3" s="12" t="inlineStr">
        <is>
          <t>House Bill 847</t>
        </is>
      </c>
      <c r="Y3" s="17">
        <f>IF(ISBLANK(X3),"","&lt;/a&gt;")</f>
        <v/>
      </c>
      <c r="Z3" s="42">
        <f>IF(ISBLANK(X3),"",IF(OR(AB3="PASSED",ISBLANK(N3)),"&lt;/b&gt;","&lt;/i&gt;"))</f>
        <v/>
      </c>
      <c r="AA3" s="43">
        <f>IF(AB3="PASSED","&lt;b&gt;","")</f>
        <v/>
      </c>
      <c r="AB3" s="45" t="inlineStr">
        <is>
          <t>ADVANCED</t>
        </is>
      </c>
      <c r="AC3" s="43">
        <f>IF(AB3="PASSED","&lt;/b&gt;","")</f>
        <v/>
      </c>
      <c r="AD3" s="43">
        <f>IF(ISBLANK(AE3),"","&lt;b&gt;")</f>
        <v/>
      </c>
      <c r="AE3" s="51" t="inlineStr">
        <is>
          <t>03/10</t>
        </is>
      </c>
      <c r="AF3" s="42">
        <f>IF(ISBLANK(AE3),"",": ")</f>
        <v/>
      </c>
      <c r="AG3" s="42" t="inlineStr">
        <is>
          <t>House Vote 59-7</t>
        </is>
      </c>
      <c r="AH3" s="42">
        <f>IF(ISBLANK(AE3),"","&lt;/b&gt;")</f>
        <v/>
      </c>
      <c r="AI3" s="42" t="inlineStr">
        <is>
          <t>02/13: FY27 reduction (-5%)</t>
        </is>
      </c>
      <c r="AJ3" s="42">
        <f>IF(ISBLANK(AI3),"","&lt;br&gt;"&amp;AI3)</f>
        <v/>
      </c>
      <c r="AK3" s="4" t="inlineStr">
        <is>
          <t>&lt;br&gt;</t>
        </is>
      </c>
      <c r="AL3" s="42" t="inlineStr">
        <is>
          <t>&lt;b&gt;&lt;i&gt;</t>
        </is>
      </c>
      <c r="AM3" s="42" t="inlineStr">
        <is>
          <t>Governor's 3% + JFAC's 2%</t>
        </is>
      </c>
      <c r="AN3" s="42">
        <f>IF(ISBLANK(AM3),"","&lt;/i&gt;")</f>
        <v/>
      </c>
      <c r="AO3" s="35">
        <f>IF(ISBLANK(AQ3),"","&lt;/b&gt;&lt;br&gt;&lt;br&gt;")</f>
        <v/>
      </c>
      <c r="AP3" s="42">
        <f>IF(ISBLANK(AQ3),"","&lt;b&gt;")</f>
        <v/>
      </c>
      <c r="AQ3" s="47" t="inlineStr">
        <is>
          <t xml:space="preserve">Agency Reduction Plan:&lt;br&gt;Additional </t>
        </is>
      </c>
      <c r="AR3" s="42" t="n">
        <v>2</v>
      </c>
      <c r="AS3" s="4">
        <f>IF(ISBLANK(AR3),""," %")</f>
        <v/>
      </c>
      <c r="AT3" s="4">
        <f t="array" ref="AT3">_xlfn.IFS(NOT(ISBLANK(AU3))," (pgs. ",NOT(ISBLANK(AS3))," (pg. ", ISBLANK(AS3), "")</f>
        <v/>
      </c>
      <c r="AU3" s="52" t="n">
        <v>109</v>
      </c>
      <c r="AV3" s="4">
        <f>IF(ISBLANK(AW3),"",", ")</f>
        <v/>
      </c>
      <c r="AW3" s="42" t="n"/>
      <c r="AX3" s="4">
        <f>IF(ISBLANK(AY3),"",",&lt;br&gt;")</f>
        <v/>
      </c>
      <c r="AY3" s="42" t="n"/>
      <c r="AZ3" s="49">
        <f>IF(ISBLANK(AU3),"",")&lt;/b&gt;")</f>
        <v/>
      </c>
      <c r="BA3" s="4">
        <f>IF(ISBLANK(BC3),"","&lt;br&gt;")</f>
        <v/>
      </c>
      <c r="BB3" s="42">
        <f t="array" ref="BB3">IF(ISBLANK(BC3),"",_xlfn.LET(
_xlpm.words,_xlfn.TEXTSPLIT(TRIM(BC3),"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 s="50" t="inlineStr">
        <is>
          <t>5% reduction in passthrough funding</t>
        </is>
      </c>
    </row>
    <row r="4">
      <c r="A4" s="20">
        <f>_xlfn.TEXTJOIN("", TRUE, F4:H4)</f>
        <v/>
      </c>
      <c r="B4" s="21">
        <f>_xlfn.TEXTJOIN("", TRUE, I4:S4)</f>
        <v/>
      </c>
      <c r="C4" s="21">
        <f>IF(ISBLANK(X4),"", _xlfn.TEXTJOIN("",TRUE,T4:Z4))</f>
        <v/>
      </c>
      <c r="D4" s="21">
        <f>IF(ISBLANK(AB4), "", _xlfn.TEXTJOIN("", TRUE, AA4:AC4))</f>
        <v/>
      </c>
      <c r="E4" s="22">
        <f>IF(AU4="NA", _xlfn.TEXTJOIN("", TRUE, AD4:AH4), _xlfn.TEXTJOIN("", TRUE, AD4:AJ4))</f>
        <v/>
      </c>
      <c r="F4" s="42">
        <f>IF(LEFT(G4,4)="FY26","&lt;b&gt;","&lt;i&gt;")</f>
        <v/>
      </c>
      <c r="G4" s="42" t="inlineStr">
        <is>
          <t>FY27 Maintenance</t>
        </is>
      </c>
      <c r="H4" s="42">
        <f>IF(LEFT(G4,4)="FY26","&lt;/b&gt;","&lt;/i&gt;")</f>
        <v/>
      </c>
      <c r="I4" s="43" t="inlineStr">
        <is>
          <t>&lt;i&gt;</t>
        </is>
      </c>
      <c r="J4" s="44" t="inlineStr">
        <is>
          <t>Judicial Branch</t>
        </is>
      </c>
      <c r="K4" s="44" t="inlineStr">
        <is>
          <t>&lt;/i&gt;</t>
        </is>
      </c>
      <c r="L4" s="4">
        <f>IF(ISBLANK(N4),"","&lt;br&gt;")</f>
        <v/>
      </c>
      <c r="M4" s="42">
        <f>IF(ISBLANK(R4),"&lt;b&gt;","&lt;i&gt;")</f>
        <v/>
      </c>
      <c r="N4" s="42" t="inlineStr">
        <is>
          <t>Judicial Council</t>
        </is>
      </c>
      <c r="O4" s="42">
        <f>IF(ISBLANK(R4),"&lt;/b&gt;","&lt;/i&gt;")</f>
        <v/>
      </c>
      <c r="P4" s="4">
        <f>IF(ISBLANK(R4),"","&lt;br&gt;")</f>
        <v/>
      </c>
      <c r="Q4" s="42">
        <f>IF(ISBLANK(R4),"","&lt;b&gt;")</f>
        <v/>
      </c>
      <c r="R4" s="42" t="n"/>
      <c r="S4" s="42">
        <f>IF(ISBLANK(R4),"","&lt;/i&gt;")</f>
        <v/>
      </c>
      <c r="T4" s="43">
        <f>IF(ISBLANK(X4),"",IF(OR(AB4="PASSED",ISBLANK(N4)),"&lt;b&gt;","&lt;i&gt;"))</f>
        <v/>
      </c>
      <c r="U4" s="3">
        <f>IF(ISBLANK(V4),"","&lt;a href='")</f>
        <v/>
      </c>
      <c r="V4" s="39" t="inlineStr">
        <is>
          <t>https://legislature.idaho.gov/sessioninfo/2026/legislation/H0847/</t>
        </is>
      </c>
      <c r="W4" s="17">
        <f>IF(ISBLANK(V4),"","'&gt;")</f>
        <v/>
      </c>
      <c r="X4" s="12" t="inlineStr">
        <is>
          <t>House Bill 847</t>
        </is>
      </c>
      <c r="Y4" s="17">
        <f>IF(ISBLANK(X4),"","&lt;/a&gt;")</f>
        <v/>
      </c>
      <c r="Z4" s="42">
        <f>IF(ISBLANK(X4),"",IF(OR(AB4="PASSED",ISBLANK(N4)),"&lt;/b&gt;","&lt;/i&gt;"))</f>
        <v/>
      </c>
      <c r="AA4" s="43">
        <f>IF(AB4="PASSED","&lt;b&gt;","")</f>
        <v/>
      </c>
      <c r="AB4" s="45" t="inlineStr">
        <is>
          <t>ADVANCED</t>
        </is>
      </c>
      <c r="AC4" s="43">
        <f>IF(AB4="PASSED","&lt;/b&gt;","")</f>
        <v/>
      </c>
      <c r="AD4" s="43">
        <f>IF(ISBLANK(AE4),"","&lt;b&gt;")</f>
        <v/>
      </c>
      <c r="AE4" s="46" t="inlineStr">
        <is>
          <t>03/10</t>
        </is>
      </c>
      <c r="AF4" s="42">
        <f>IF(ISBLANK(AE4),"",": ")</f>
        <v/>
      </c>
      <c r="AG4" s="42" t="inlineStr">
        <is>
          <t>House Vote 59-7</t>
        </is>
      </c>
      <c r="AH4" s="42">
        <f>IF(ISBLANK(AE4),"","&lt;/b&gt;")</f>
        <v/>
      </c>
      <c r="AI4" s="42" t="inlineStr">
        <is>
          <t>02/13: FY27 reduction (-5%)</t>
        </is>
      </c>
      <c r="AJ4" s="42">
        <f>IF(ISBLANK(AI4),"","&lt;br&gt;"&amp;AI4)</f>
        <v/>
      </c>
      <c r="AK4" s="4" t="inlineStr">
        <is>
          <t>&lt;br&gt;</t>
        </is>
      </c>
      <c r="AL4" s="42" t="inlineStr">
        <is>
          <t>&lt;b&gt;&lt;i&gt;</t>
        </is>
      </c>
      <c r="AM4" s="42" t="inlineStr">
        <is>
          <t>Governor's 3% + JFAC's 2%</t>
        </is>
      </c>
      <c r="AN4" s="42">
        <f>IF(ISBLANK(AM4),"","&lt;/i&gt;")</f>
        <v/>
      </c>
      <c r="AO4" s="35">
        <f>IF(ISBLANK(AQ4),"","&lt;/b&gt;&lt;br&gt;&lt;br&gt;")</f>
        <v/>
      </c>
      <c r="AP4" s="42">
        <f>IF(ISBLANK(AQ4),"","&lt;b&gt;")</f>
        <v/>
      </c>
      <c r="AQ4" s="47" t="inlineStr">
        <is>
          <t xml:space="preserve">Agency Reduction Plan:&lt;br&gt;Additional </t>
        </is>
      </c>
      <c r="AR4" s="42" t="n">
        <v>2</v>
      </c>
      <c r="AS4" s="4">
        <f>IF(ISBLANK(AR4),""," %")</f>
        <v/>
      </c>
      <c r="AT4" s="4">
        <f t="array" ref="AT4">_xlfn.IFS(NOT(ISBLANK(AU4))," (pgs. ",NOT(ISBLANK(AS4))," (pg. ", ISBLANK(AS4), "")</f>
        <v/>
      </c>
      <c r="AU4" s="52" t="n">
        <v>109</v>
      </c>
      <c r="AV4" s="4">
        <f>IF(ISBLANK(AW4),"",", ")</f>
        <v/>
      </c>
      <c r="AW4" s="42" t="n"/>
      <c r="AX4" s="4">
        <f>IF(ISBLANK(AY4),"",",&lt;br&gt;")</f>
        <v/>
      </c>
      <c r="AY4" s="42" t="n"/>
      <c r="AZ4" s="49">
        <f>IF(ISBLANK(AU4),"",")&lt;/b&gt;")</f>
        <v/>
      </c>
      <c r="BA4" s="4">
        <f>IF(ISBLANK(BC4),"","&lt;br&gt;")</f>
        <v/>
      </c>
      <c r="BB4" s="42">
        <f t="array" ref="BB4">IF(ISBLANK(BC4),"",_xlfn.LET(
_xlpm.words,_xlfn.TEXTSPLIT(TRIM(BC4),"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4" s="50" t="inlineStr">
        <is>
          <t>5% reduction in passthrough funding</t>
        </is>
      </c>
    </row>
    <row r="5">
      <c r="A5" s="20">
        <f>_xlfn.TEXTJOIN("", TRUE, F5:H5)</f>
        <v/>
      </c>
      <c r="B5" s="21">
        <f>_xlfn.TEXTJOIN("", TRUE, I5:S5)</f>
        <v/>
      </c>
      <c r="C5" s="21">
        <f>IF(ISBLANK(X5),"", _xlfn.TEXTJOIN("",TRUE,T5:Z5))</f>
        <v/>
      </c>
      <c r="D5" s="21">
        <f>IF(ISBLANK(AB5), "", _xlfn.TEXTJOIN("", TRUE, AA5:AC5))</f>
        <v/>
      </c>
      <c r="E5" s="22">
        <f>IF(AU5="NA", _xlfn.TEXTJOIN("", TRUE, AD5:AH5), _xlfn.TEXTJOIN("", TRUE, AD5:AJ5))</f>
        <v/>
      </c>
      <c r="F5" s="42">
        <f>IF(LEFT(G5,4)="FY26","&lt;b&gt;","&lt;i&gt;")</f>
        <v/>
      </c>
      <c r="G5" s="42" t="inlineStr">
        <is>
          <t>FY27 Maintenance</t>
        </is>
      </c>
      <c r="H5" s="42">
        <f>IF(LEFT(G5,4)="FY26","&lt;/b&gt;","&lt;/i&gt;")</f>
        <v/>
      </c>
      <c r="I5" s="43" t="inlineStr">
        <is>
          <t>&lt;i&gt;</t>
        </is>
      </c>
      <c r="J5" s="44" t="inlineStr">
        <is>
          <t>Legislative Branch</t>
        </is>
      </c>
      <c r="K5" s="44" t="inlineStr">
        <is>
          <t>&lt;/i&gt;</t>
        </is>
      </c>
      <c r="L5" s="4">
        <f>IF(ISBLANK(N5),"","&lt;br&gt;")</f>
        <v/>
      </c>
      <c r="M5" s="42">
        <f>IF(ISBLANK(R5),"&lt;b&gt;","&lt;i&gt;")</f>
        <v/>
      </c>
      <c r="N5" s="42" t="inlineStr">
        <is>
          <t>Legislative Services Office</t>
        </is>
      </c>
      <c r="O5" s="42">
        <f>IF(ISBLANK(R5),"&lt;/b&gt;","&lt;/i&gt;")</f>
        <v/>
      </c>
      <c r="P5" s="4">
        <f>IF(ISBLANK(R5),"","&lt;br&gt;")</f>
        <v/>
      </c>
      <c r="Q5" s="42">
        <f>IF(ISBLANK(R5),"","&lt;b&gt;")</f>
        <v/>
      </c>
      <c r="R5" s="42" t="n"/>
      <c r="S5" s="42">
        <f>IF(ISBLANK(R5),"","&lt;/i&gt;")</f>
        <v/>
      </c>
      <c r="T5" s="43">
        <f>IF(ISBLANK(X5),"",IF(OR(AB5="PASSED",ISBLANK(N5)),"&lt;b&gt;","&lt;i&gt;"))</f>
        <v/>
      </c>
      <c r="U5" s="3">
        <f>IF(ISBLANK(V5),"","&lt;a href='")</f>
        <v/>
      </c>
      <c r="V5" s="39" t="inlineStr">
        <is>
          <t>https://legislature.idaho.gov/sessioninfo/2026/legislation/H0848/</t>
        </is>
      </c>
      <c r="W5" s="17">
        <f>IF(ISBLANK(V5),"","'&gt;")</f>
        <v/>
      </c>
      <c r="X5" s="12" t="inlineStr">
        <is>
          <t>House Bill 848</t>
        </is>
      </c>
      <c r="Y5" s="17">
        <f>IF(ISBLANK(X5),"","&lt;/a&gt;")</f>
        <v/>
      </c>
      <c r="Z5" s="42">
        <f>IF(ISBLANK(X5),"",IF(OR(AB5="PASSED",ISBLANK(N5)),"&lt;/b&gt;","&lt;/i&gt;"))</f>
        <v/>
      </c>
      <c r="AA5" s="43">
        <f>IF(AB5="PASSED","&lt;b&gt;","")</f>
        <v/>
      </c>
      <c r="AB5" s="45" t="inlineStr">
        <is>
          <t>ADVANCED</t>
        </is>
      </c>
      <c r="AC5" s="43">
        <f>IF(AB5="PASSED","&lt;/b&gt;","")</f>
        <v/>
      </c>
      <c r="AD5" s="43">
        <f>IF(ISBLANK(AE5),"","&lt;b&gt;")</f>
        <v/>
      </c>
      <c r="AE5" s="51" t="inlineStr">
        <is>
          <t>03/10</t>
        </is>
      </c>
      <c r="AF5" s="42">
        <f>IF(ISBLANK(AE5),"",": ")</f>
        <v/>
      </c>
      <c r="AG5" s="42" t="inlineStr">
        <is>
          <t>House Vote 60-6</t>
        </is>
      </c>
      <c r="AH5" s="42">
        <f>IF(ISBLANK(AE5),"","&lt;/b&gt;")</f>
        <v/>
      </c>
      <c r="AI5" s="42" t="inlineStr">
        <is>
          <t>02/13: FY27 reduction (-5%)</t>
        </is>
      </c>
      <c r="AJ5" s="42">
        <f>IF(ISBLANK(AI5),"","&lt;br&gt;"&amp;AI5)</f>
        <v/>
      </c>
      <c r="AK5" s="4" t="inlineStr">
        <is>
          <t>&lt;br&gt;</t>
        </is>
      </c>
      <c r="AL5" s="42" t="inlineStr">
        <is>
          <t>&lt;b&gt;&lt;i&gt;</t>
        </is>
      </c>
      <c r="AM5" s="42" t="inlineStr">
        <is>
          <t>Governor's 3% + JFAC's 2%</t>
        </is>
      </c>
      <c r="AN5" s="42">
        <f>IF(ISBLANK(AM5),"","&lt;/i&gt;")</f>
        <v/>
      </c>
      <c r="AO5" s="35">
        <f>IF(ISBLANK(AQ5),"","&lt;/b&gt;&lt;br&gt;&lt;br&gt;")</f>
        <v/>
      </c>
      <c r="AP5" s="42">
        <f>IF(ISBLANK(AQ5),"","&lt;b&gt;")</f>
        <v/>
      </c>
      <c r="AQ5" s="47" t="inlineStr">
        <is>
          <t xml:space="preserve">Agency Reduction Plan:&lt;br&gt;Additional </t>
        </is>
      </c>
      <c r="AR5" s="42" t="n">
        <v>2</v>
      </c>
      <c r="AS5" s="4">
        <f>IF(ISBLANK(AR5),""," %")</f>
        <v/>
      </c>
      <c r="AT5" s="4">
        <f t="array" ref="AT5">_xlfn.IFS(NOT(ISBLANK(AU5))," (pgs. ",NOT(ISBLANK(AS5))," (pg. ", ISBLANK(AS5), "")</f>
        <v/>
      </c>
      <c r="AU5" s="52" t="n">
        <v>226</v>
      </c>
      <c r="AV5" s="4">
        <f>IF(ISBLANK(AW5),"",", ")</f>
        <v/>
      </c>
      <c r="AW5" s="42" t="n"/>
      <c r="AX5" s="4">
        <f>IF(ISBLANK(AY5),"",",&lt;br&gt;")</f>
        <v/>
      </c>
      <c r="AY5" s="42" t="n"/>
      <c r="AZ5" s="49">
        <f>IF(ISBLANK(AU5),"",")&lt;/b&gt;")</f>
        <v/>
      </c>
      <c r="BA5" s="4">
        <f>IF(ISBLANK(BC5),"","&lt;br&gt;")</f>
        <v/>
      </c>
      <c r="BB5" s="42">
        <f t="array" ref="BB5">IF(ISBLANK(BC5),"",_xlfn.LET(
_xlpm.words,_xlfn.TEXTSPLIT(TRIM(BC5),"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5" s="50" t="inlineStr">
        <is>
          <t>The reductions to achieve an additional 1% or 2% in either FY 2026 or FY 2027 will be primarily from Personnel Costs. Options include: 1. Keeping positions vacant for as long as practical, 2. Rehiring at entry level, or 3. Furloughing staff (each 1% reduction is equal to three days of unpaid leave for all staff). The affected programs or services would depend on which positions, if any, become vacant and for how long. The impact could include increased time for bill drafting, budget analysis, IT support, and financial audits. Reducing session staff beyond the current year could further reduce the Legislative Information Center hours available to the public.</t>
        </is>
      </c>
    </row>
    <row r="6">
      <c r="A6" s="20">
        <f>_xlfn.TEXTJOIN("", TRUE, F6:H6)</f>
        <v/>
      </c>
      <c r="B6" s="21">
        <f>_xlfn.TEXTJOIN("", TRUE, I6:S6)</f>
        <v/>
      </c>
      <c r="C6" s="21">
        <f>IF(ISBLANK(X6),"", _xlfn.TEXTJOIN("",TRUE,T6:Z6))</f>
        <v/>
      </c>
      <c r="D6" s="21">
        <f>IF(ISBLANK(AB6), "", _xlfn.TEXTJOIN("", TRUE, AA6:AC6))</f>
        <v/>
      </c>
      <c r="E6" s="22">
        <f>IF(AU6="NA", _xlfn.TEXTJOIN("", TRUE, AD6:AH6), _xlfn.TEXTJOIN("", TRUE, AD6:AJ6))</f>
        <v/>
      </c>
      <c r="F6" s="42">
        <f>IF(LEFT(G6,4)="FY26","&lt;b&gt;","&lt;i&gt;")</f>
        <v/>
      </c>
      <c r="G6" s="42" t="inlineStr">
        <is>
          <t>FY27 Maintenance</t>
        </is>
      </c>
      <c r="H6" s="42">
        <f>IF(LEFT(G6,4)="FY26","&lt;/b&gt;","&lt;/i&gt;")</f>
        <v/>
      </c>
      <c r="I6" s="43" t="inlineStr">
        <is>
          <t>&lt;i&gt;</t>
        </is>
      </c>
      <c r="J6" s="44" t="inlineStr">
        <is>
          <t>Legislative Branch</t>
        </is>
      </c>
      <c r="K6" s="44" t="inlineStr">
        <is>
          <t>&lt;/i&gt;</t>
        </is>
      </c>
      <c r="L6" s="4">
        <f>IF(ISBLANK(N6),"","&lt;br&gt;")</f>
        <v/>
      </c>
      <c r="M6" s="42">
        <f>IF(ISBLANK(R6),"&lt;b&gt;","&lt;i&gt;")</f>
        <v/>
      </c>
      <c r="N6" s="42" t="inlineStr">
        <is>
          <t>Legislative Technology</t>
        </is>
      </c>
      <c r="O6" s="42">
        <f>IF(ISBLANK(R6),"&lt;/b&gt;","&lt;/i&gt;")</f>
        <v/>
      </c>
      <c r="P6" s="4">
        <f>IF(ISBLANK(R6),"","&lt;br&gt;")</f>
        <v/>
      </c>
      <c r="Q6" s="42">
        <f>IF(ISBLANK(R6),"","&lt;b&gt;")</f>
        <v/>
      </c>
      <c r="R6" s="42" t="n"/>
      <c r="S6" s="42">
        <f>IF(ISBLANK(R6),"","&lt;/i&gt;")</f>
        <v/>
      </c>
      <c r="T6" s="43">
        <f>IF(ISBLANK(X6),"",IF(OR(AB6="PASSED",ISBLANK(N6)),"&lt;b&gt;","&lt;i&gt;"))</f>
        <v/>
      </c>
      <c r="U6" s="3">
        <f>IF(ISBLANK(V6),"","&lt;a href='")</f>
        <v/>
      </c>
      <c r="V6" s="39" t="inlineStr">
        <is>
          <t>https://legislature.idaho.gov/sessioninfo/2026/legislation/H0848/</t>
        </is>
      </c>
      <c r="W6" s="17">
        <f>IF(ISBLANK(V6),"","'&gt;")</f>
        <v/>
      </c>
      <c r="X6" s="12" t="inlineStr">
        <is>
          <t>House Bill 848</t>
        </is>
      </c>
      <c r="Y6" s="17">
        <f>IF(ISBLANK(X6),"","&lt;/a&gt;")</f>
        <v/>
      </c>
      <c r="Z6" s="42">
        <f>IF(ISBLANK(X6),"",IF(OR(AB6="PASSED",ISBLANK(N6)),"&lt;/b&gt;","&lt;/i&gt;"))</f>
        <v/>
      </c>
      <c r="AA6" s="43">
        <f>IF(AB6="PASSED","&lt;b&gt;","")</f>
        <v/>
      </c>
      <c r="AB6" s="45" t="inlineStr">
        <is>
          <t>ADVANCED</t>
        </is>
      </c>
      <c r="AC6" s="43">
        <f>IF(AB6="PASSED","&lt;/b&gt;","")</f>
        <v/>
      </c>
      <c r="AD6" s="43">
        <f>IF(ISBLANK(AE6),"","&lt;b&gt;")</f>
        <v/>
      </c>
      <c r="AE6" s="46" t="inlineStr">
        <is>
          <t>03/10</t>
        </is>
      </c>
      <c r="AF6" s="42">
        <f>IF(ISBLANK(AE6),"",": ")</f>
        <v/>
      </c>
      <c r="AG6" s="42" t="inlineStr">
        <is>
          <t>House Vote 60-6</t>
        </is>
      </c>
      <c r="AH6" s="42">
        <f>IF(ISBLANK(AE6),"","&lt;/b&gt;")</f>
        <v/>
      </c>
      <c r="AI6" s="42" t="inlineStr">
        <is>
          <t>02/13: FY27 reduction (-5%)</t>
        </is>
      </c>
      <c r="AJ6" s="42">
        <f>IF(ISBLANK(AI6),"","&lt;br&gt;"&amp;AI6)</f>
        <v/>
      </c>
      <c r="AK6" s="4" t="inlineStr">
        <is>
          <t>&lt;br&gt;</t>
        </is>
      </c>
      <c r="AL6" s="42" t="inlineStr">
        <is>
          <t>&lt;b&gt;&lt;i&gt;</t>
        </is>
      </c>
      <c r="AM6" s="42" t="inlineStr">
        <is>
          <t>Governor's 3% + JFAC's 2%</t>
        </is>
      </c>
      <c r="AN6" s="42">
        <f>IF(ISBLANK(AM6),"","&lt;/i&gt;")</f>
        <v/>
      </c>
      <c r="AO6" s="35">
        <f>IF(ISBLANK(AQ6),"","&lt;/b&gt;&lt;br&gt;&lt;br&gt;")</f>
        <v/>
      </c>
      <c r="AP6" s="42">
        <f>IF(ISBLANK(AQ6),"","&lt;b&gt;")</f>
        <v/>
      </c>
      <c r="AQ6" s="47" t="inlineStr">
        <is>
          <t xml:space="preserve">Agency Reduction Plan:&lt;br&gt;Additional </t>
        </is>
      </c>
      <c r="AR6" s="42" t="n">
        <v>2</v>
      </c>
      <c r="AS6" s="4">
        <f>IF(ISBLANK(AR6),""," %")</f>
        <v/>
      </c>
      <c r="AT6" s="4">
        <f t="array" ref="AT6">_xlfn.IFS(NOT(ISBLANK(AU6))," (pgs. ",NOT(ISBLANK(AS6))," (pg. ", ISBLANK(AS6), "")</f>
        <v/>
      </c>
      <c r="AU6" s="52" t="inlineStr">
        <is>
          <t>NA</t>
        </is>
      </c>
      <c r="AV6" s="4">
        <f>IF(ISBLANK(AW6),"",", ")</f>
        <v/>
      </c>
      <c r="AW6" s="42" t="n"/>
      <c r="AX6" s="4">
        <f>IF(ISBLANK(AY6),"",",&lt;br&gt;")</f>
        <v/>
      </c>
      <c r="AY6" s="42" t="n"/>
      <c r="AZ6" s="49">
        <f>IF(ISBLANK(AU6),"",")&lt;/b&gt;")</f>
        <v/>
      </c>
      <c r="BA6" s="4">
        <f>IF(ISBLANK(BC6),"","&lt;br&gt;")</f>
        <v/>
      </c>
      <c r="BB6" s="42">
        <f t="array" ref="BB6">IF(ISBLANK(BC6),"",_xlfn.LET(
_xlpm.words,_xlfn.TEXTSPLIT(TRIM(BC6),"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6" s="50" t="n"/>
    </row>
    <row r="7">
      <c r="A7" s="20">
        <f>_xlfn.TEXTJOIN("", TRUE, F7:H7)</f>
        <v/>
      </c>
      <c r="B7" s="21">
        <f>_xlfn.TEXTJOIN("", TRUE, I7:S7)</f>
        <v/>
      </c>
      <c r="C7" s="21">
        <f>IF(ISBLANK(X7),"", _xlfn.TEXTJOIN("",TRUE,T7:Z7))</f>
        <v/>
      </c>
      <c r="D7" s="21">
        <f>IF(ISBLANK(AB7), "", _xlfn.TEXTJOIN("", TRUE, AA7:AC7))</f>
        <v/>
      </c>
      <c r="E7" s="22">
        <f>IF(AU7="NA", _xlfn.TEXTJOIN("", TRUE, AD7:AH7), _xlfn.TEXTJOIN("", TRUE, AD7:AJ7))</f>
        <v/>
      </c>
      <c r="F7" s="42">
        <f>IF(LEFT(G7,4)="FY26","&lt;b&gt;","&lt;i&gt;")</f>
        <v/>
      </c>
      <c r="G7" s="42" t="inlineStr">
        <is>
          <t>FY27 Maintenance</t>
        </is>
      </c>
      <c r="H7" s="42">
        <f>IF(LEFT(G7,4)="FY26","&lt;/b&gt;","&lt;/i&gt;")</f>
        <v/>
      </c>
      <c r="I7" s="43" t="inlineStr">
        <is>
          <t>&lt;i&gt;</t>
        </is>
      </c>
      <c r="J7" s="44" t="inlineStr">
        <is>
          <t>Legislative Branch</t>
        </is>
      </c>
      <c r="K7" s="44" t="inlineStr">
        <is>
          <t>&lt;/i&gt;</t>
        </is>
      </c>
      <c r="L7" s="4">
        <f>IF(ISBLANK(N7),"","&lt;br&gt;")</f>
        <v/>
      </c>
      <c r="M7" s="42">
        <f>IF(ISBLANK(R7),"&lt;b&gt;","&lt;i&gt;")</f>
        <v/>
      </c>
      <c r="N7" s="42" t="inlineStr">
        <is>
          <t>Legislature</t>
        </is>
      </c>
      <c r="O7" s="42">
        <f>IF(ISBLANK(R7),"&lt;/b&gt;","&lt;/i&gt;")</f>
        <v/>
      </c>
      <c r="P7" s="4">
        <f>IF(ISBLANK(R7),"","&lt;br&gt;")</f>
        <v/>
      </c>
      <c r="Q7" s="42">
        <f>IF(ISBLANK(R7),"","&lt;b&gt;")</f>
        <v/>
      </c>
      <c r="R7" s="42" t="n"/>
      <c r="S7" s="42">
        <f>IF(ISBLANK(R7),"","&lt;/i&gt;")</f>
        <v/>
      </c>
      <c r="T7" s="43">
        <f>IF(ISBLANK(X7),"",IF(OR(AB7="PASSED",ISBLANK(N7)),"&lt;b&gt;","&lt;i&gt;"))</f>
        <v/>
      </c>
      <c r="U7" s="3">
        <f>IF(ISBLANK(V7),"","&lt;a href='")</f>
        <v/>
      </c>
      <c r="V7" s="39" t="inlineStr">
        <is>
          <t>https://legislature.idaho.gov/sessioninfo/2026/legislation/H0848/</t>
        </is>
      </c>
      <c r="W7" s="17">
        <f>IF(ISBLANK(V7),"","'&gt;")</f>
        <v/>
      </c>
      <c r="X7" s="12" t="inlineStr">
        <is>
          <t>House Bill 848</t>
        </is>
      </c>
      <c r="Y7" s="17">
        <f>IF(ISBLANK(X7),"","&lt;/a&gt;")</f>
        <v/>
      </c>
      <c r="Z7" s="42">
        <f>IF(ISBLANK(X7),"",IF(OR(AB7="PASSED",ISBLANK(N7)),"&lt;/b&gt;","&lt;/i&gt;"))</f>
        <v/>
      </c>
      <c r="AA7" s="43">
        <f>IF(AB7="PASSED","&lt;b&gt;","")</f>
        <v/>
      </c>
      <c r="AB7" s="45" t="inlineStr">
        <is>
          <t>ADVANCED</t>
        </is>
      </c>
      <c r="AC7" s="43">
        <f>IF(AB7="PASSED","&lt;/b&gt;","")</f>
        <v/>
      </c>
      <c r="AD7" s="43">
        <f>IF(ISBLANK(AE7),"","&lt;b&gt;")</f>
        <v/>
      </c>
      <c r="AE7" s="51" t="inlineStr">
        <is>
          <t>03/10</t>
        </is>
      </c>
      <c r="AF7" s="42">
        <f>IF(ISBLANK(AE7),"",": ")</f>
        <v/>
      </c>
      <c r="AG7" s="42" t="inlineStr">
        <is>
          <t>House Vote 60-6</t>
        </is>
      </c>
      <c r="AH7" s="42">
        <f>IF(ISBLANK(AE7),"","&lt;/b&gt;")</f>
        <v/>
      </c>
      <c r="AI7" s="42" t="inlineStr">
        <is>
          <t>02/13: FY27 reduction (-5%)</t>
        </is>
      </c>
      <c r="AJ7" s="42">
        <f>IF(ISBLANK(AI7),"","&lt;br&gt;"&amp;AI7)</f>
        <v/>
      </c>
      <c r="AK7" s="4" t="inlineStr">
        <is>
          <t>&lt;br&gt;</t>
        </is>
      </c>
      <c r="AL7" s="42" t="inlineStr">
        <is>
          <t>&lt;b&gt;&lt;i&gt;</t>
        </is>
      </c>
      <c r="AM7" s="42" t="inlineStr">
        <is>
          <t>Governor's 3% + JFAC's 2%</t>
        </is>
      </c>
      <c r="AN7" s="42">
        <f>IF(ISBLANK(AM7),"","&lt;/i&gt;")</f>
        <v/>
      </c>
      <c r="AO7" s="35">
        <f>IF(ISBLANK(AQ7),"","&lt;/b&gt;&lt;br&gt;&lt;br&gt;")</f>
        <v/>
      </c>
      <c r="AP7" s="42">
        <f>IF(ISBLANK(AQ7),"","&lt;b&gt;")</f>
        <v/>
      </c>
      <c r="AQ7" s="47" t="inlineStr">
        <is>
          <t xml:space="preserve">Agency Reduction Plan:&lt;br&gt;Additional </t>
        </is>
      </c>
      <c r="AR7" s="42" t="n">
        <v>2</v>
      </c>
      <c r="AS7" s="4">
        <f>IF(ISBLANK(AR7),""," %")</f>
        <v/>
      </c>
      <c r="AT7" s="4">
        <f t="array" ref="AT7">_xlfn.IFS(NOT(ISBLANK(AU7))," (pgs. ",NOT(ISBLANK(AS7))," (pg. ", ISBLANK(AS7), "")</f>
        <v/>
      </c>
      <c r="AU7" s="52" t="inlineStr">
        <is>
          <t>NA</t>
        </is>
      </c>
      <c r="AV7" s="4">
        <f>IF(ISBLANK(AW7),"",", ")</f>
        <v/>
      </c>
      <c r="AW7" s="42" t="n"/>
      <c r="AX7" s="4">
        <f>IF(ISBLANK(AY7),"",",&lt;br&gt;")</f>
        <v/>
      </c>
      <c r="AY7" s="42" t="n"/>
      <c r="AZ7" s="49">
        <f>IF(ISBLANK(AU7),"",")&lt;/b&gt;")</f>
        <v/>
      </c>
      <c r="BA7" s="4">
        <f>IF(ISBLANK(BC7),"","&lt;br&gt;")</f>
        <v/>
      </c>
      <c r="BB7" s="42">
        <f t="array" ref="BB7">IF(ISBLANK(BC7),"",_xlfn.LET(
_xlpm.words,_xlfn.TEXTSPLIT(TRIM(BC7),"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7" s="50" t="n"/>
    </row>
    <row r="8">
      <c r="A8" s="20">
        <f>_xlfn.TEXTJOIN("", TRUE, F8:H8)</f>
        <v/>
      </c>
      <c r="B8" s="21">
        <f>_xlfn.TEXTJOIN("", TRUE, I8:S8)</f>
        <v/>
      </c>
      <c r="C8" s="21">
        <f>IF(ISBLANK(X8),"", _xlfn.TEXTJOIN("",TRUE,T8:Z8))</f>
        <v/>
      </c>
      <c r="D8" s="21">
        <f>IF(ISBLANK(AB8), "", _xlfn.TEXTJOIN("", TRUE, AA8:AC8))</f>
        <v/>
      </c>
      <c r="E8" s="22">
        <f>IF(AU8="NA", _xlfn.TEXTJOIN("", TRUE, AD8:AH8), _xlfn.TEXTJOIN("", TRUE, AD8:AJ8))</f>
        <v/>
      </c>
      <c r="F8" s="42">
        <f>IF(LEFT(G8,4)="FY26","&lt;b&gt;","&lt;i&gt;")</f>
        <v/>
      </c>
      <c r="G8" s="42" t="inlineStr">
        <is>
          <t>FY27 Maintenance</t>
        </is>
      </c>
      <c r="H8" s="42">
        <f>IF(LEFT(G8,4)="FY26","&lt;/b&gt;","&lt;/i&gt;")</f>
        <v/>
      </c>
      <c r="I8" s="43" t="inlineStr">
        <is>
          <t>&lt;i&gt;</t>
        </is>
      </c>
      <c r="J8" s="44" t="inlineStr">
        <is>
          <t>Legislative Branch</t>
        </is>
      </c>
      <c r="K8" s="44" t="inlineStr">
        <is>
          <t>&lt;/i&gt;</t>
        </is>
      </c>
      <c r="L8" s="4">
        <f>IF(ISBLANK(N8),"","&lt;br&gt;")</f>
        <v/>
      </c>
      <c r="M8" s="42">
        <f>IF(ISBLANK(R8),"&lt;b&gt;","&lt;i&gt;")</f>
        <v/>
      </c>
      <c r="N8" s="42" t="inlineStr">
        <is>
          <t>Office of Performance Evaluations</t>
        </is>
      </c>
      <c r="O8" s="42">
        <f>IF(ISBLANK(R8),"&lt;/b&gt;","&lt;/i&gt;")</f>
        <v/>
      </c>
      <c r="P8" s="4">
        <f>IF(ISBLANK(R8),"","&lt;br&gt;")</f>
        <v/>
      </c>
      <c r="Q8" s="42">
        <f>IF(ISBLANK(R8),"","&lt;b&gt;")</f>
        <v/>
      </c>
      <c r="R8" s="42" t="n"/>
      <c r="S8" s="42">
        <f>IF(ISBLANK(R8),"","&lt;/i&gt;")</f>
        <v/>
      </c>
      <c r="T8" s="43">
        <f>IF(ISBLANK(X8),"",IF(OR(AB8="PASSED",ISBLANK(N8)),"&lt;b&gt;","&lt;i&gt;"))</f>
        <v/>
      </c>
      <c r="U8" s="3">
        <f>IF(ISBLANK(V8),"","&lt;a href='")</f>
        <v/>
      </c>
      <c r="V8" s="39" t="inlineStr">
        <is>
          <t>https://legislature.idaho.gov/sessioninfo/2026/legislation/H0848/</t>
        </is>
      </c>
      <c r="W8" s="17">
        <f>IF(ISBLANK(V8),"","'&gt;")</f>
        <v/>
      </c>
      <c r="X8" s="12" t="inlineStr">
        <is>
          <t>House Bill 848</t>
        </is>
      </c>
      <c r="Y8" s="17">
        <f>IF(ISBLANK(X8),"","&lt;/a&gt;")</f>
        <v/>
      </c>
      <c r="Z8" s="42">
        <f>IF(ISBLANK(X8),"",IF(OR(AB8="PASSED",ISBLANK(N8)),"&lt;/b&gt;","&lt;/i&gt;"))</f>
        <v/>
      </c>
      <c r="AA8" s="43">
        <f>IF(AB8="PASSED","&lt;b&gt;","")</f>
        <v/>
      </c>
      <c r="AB8" s="45" t="inlineStr">
        <is>
          <t>ADVANCED</t>
        </is>
      </c>
      <c r="AC8" s="43">
        <f>IF(AB8="PASSED","&lt;/b&gt;","")</f>
        <v/>
      </c>
      <c r="AD8" s="43">
        <f>IF(ISBLANK(AE8),"","&lt;b&gt;")</f>
        <v/>
      </c>
      <c r="AE8" s="46" t="inlineStr">
        <is>
          <t>03/10</t>
        </is>
      </c>
      <c r="AF8" s="42">
        <f>IF(ISBLANK(AE8),"",": ")</f>
        <v/>
      </c>
      <c r="AG8" s="42" t="inlineStr">
        <is>
          <t>House Vote 60-6</t>
        </is>
      </c>
      <c r="AH8" s="42">
        <f>IF(ISBLANK(AE8),"","&lt;/b&gt;")</f>
        <v/>
      </c>
      <c r="AI8" s="42" t="inlineStr">
        <is>
          <t>02/13: FY27 reduction (-5%)</t>
        </is>
      </c>
      <c r="AJ8" s="42">
        <f>IF(ISBLANK(AI8),"","&lt;br&gt;"&amp;AI8)</f>
        <v/>
      </c>
      <c r="AK8" s="4" t="inlineStr">
        <is>
          <t>&lt;br&gt;</t>
        </is>
      </c>
      <c r="AL8" s="42" t="inlineStr">
        <is>
          <t>&lt;b&gt;&lt;i&gt;</t>
        </is>
      </c>
      <c r="AM8" s="42" t="inlineStr">
        <is>
          <t>Governor's 3% + JFAC's 2%</t>
        </is>
      </c>
      <c r="AN8" s="42">
        <f>IF(ISBLANK(AM8),"","&lt;/i&gt;")</f>
        <v/>
      </c>
      <c r="AO8" s="35">
        <f>IF(ISBLANK(AQ8),"","&lt;/b&gt;&lt;br&gt;&lt;br&gt;")</f>
        <v/>
      </c>
      <c r="AP8" s="42">
        <f>IF(ISBLANK(AQ8),"","&lt;b&gt;")</f>
        <v/>
      </c>
      <c r="AQ8" s="47" t="inlineStr">
        <is>
          <t xml:space="preserve">Agency Reduction Plan:&lt;br&gt;Additional </t>
        </is>
      </c>
      <c r="AR8" s="42" t="n">
        <v>2</v>
      </c>
      <c r="AS8" s="4">
        <f>IF(ISBLANK(AR8),""," %")</f>
        <v/>
      </c>
      <c r="AT8" s="4">
        <f t="array" ref="AT8">_xlfn.IFS(NOT(ISBLANK(AU8))," (pgs. ",NOT(ISBLANK(AS8))," (pg. ", ISBLANK(AS8), "")</f>
        <v/>
      </c>
      <c r="AU8" s="52" t="n">
        <v>229</v>
      </c>
      <c r="AV8" s="4">
        <f>IF(ISBLANK(AW8),"",", ")</f>
        <v/>
      </c>
      <c r="AW8" s="42" t="n"/>
      <c r="AX8" s="4">
        <f>IF(ISBLANK(AY8),"",",&lt;br&gt;")</f>
        <v/>
      </c>
      <c r="AY8" s="42" t="n"/>
      <c r="AZ8" s="49">
        <f>IF(ISBLANK(AU8),"",")&lt;/b&gt;")</f>
        <v/>
      </c>
      <c r="BA8" s="4">
        <f>IF(ISBLANK(BC8),"","&lt;br&gt;")</f>
        <v/>
      </c>
      <c r="BB8" s="42">
        <f t="array" ref="BB8">IF(ISBLANK(BC8),"",_xlfn.LET(
_xlpm.words,_xlfn.TEXTSPLIT(TRIM(BC8),"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8" s="50" t="inlineStr">
        <is>
          <t>OPE proposes a reduction of $11,300 in personnel spending authority in the 1% reduction scenario and $22,600 reduction in requested personnel spending authority for the 2% reduction scenario. These savings will be generated by replacing a Senior Evaluator position with an Evaluator position. This decrease in salary and variable benefits would account for the entirety of the 1% reduction. Further savings would be generated by delaying planned professional advancement opportunities (i.e., promotions with increased responsibility) to reach the 2% reduction scenario. Neither reduction would necessitate a reduction in force or furloughs. Replacing a Senior Evaluator with an Evaluator, with the associated reduction in salary, will affect the quality of the candidates that OPE can recruit and, to a degree, affect the quality of the service OPE provides. Hiring at the Senior Evaluator level typically attracts candidates with graduate degrees and 5-10 years of professional experience. Hiring at the Evaluator level typically attracts candidates who are in graduate school or who have recently graduated but have no professional experience. This results in higher training burdens on existing staff and less productive work for the first several years of employment. Delayed professional advancement opportunities—having two Principal Evaluators instead of the three we’ve had in the past—concentrates responsibility in a smaller number of senior staff. These staff must spend more of their time on training and other office responsibilities and less time conducting performance evaluations. Delayed advancement also increases the likelihood of turnover in these positions.</t>
        </is>
      </c>
    </row>
    <row r="9">
      <c r="A9" s="20">
        <f>_xlfn.TEXTJOIN("", TRUE, F9:H9)</f>
        <v/>
      </c>
      <c r="B9" s="21">
        <f>_xlfn.TEXTJOIN("", TRUE, I9:S9)</f>
        <v/>
      </c>
      <c r="C9" s="21">
        <f>IF(ISBLANK(X9),"", _xlfn.TEXTJOIN("",TRUE,T9:Z9))</f>
        <v/>
      </c>
      <c r="D9" s="21">
        <f>IF(ISBLANK(AB9), "", _xlfn.TEXTJOIN("", TRUE, AA9:AC9))</f>
        <v/>
      </c>
      <c r="E9" s="22">
        <f>IF(AU9="NA", _xlfn.TEXTJOIN("", TRUE, AD9:AH9), _xlfn.TEXTJOIN("", TRUE, AD9:AJ9))</f>
        <v/>
      </c>
      <c r="F9" s="42">
        <f>IF(LEFT(G9,4)="FY26","&lt;b&gt;","&lt;i&gt;")</f>
        <v/>
      </c>
      <c r="G9" s="42" t="inlineStr">
        <is>
          <t>FY27 Maintenance</t>
        </is>
      </c>
      <c r="H9" s="42">
        <f>IF(LEFT(G9,4)="FY26","&lt;/b&gt;","&lt;/i&gt;")</f>
        <v/>
      </c>
      <c r="I9" s="43" t="inlineStr">
        <is>
          <t>&lt;i&gt;</t>
        </is>
      </c>
      <c r="J9" s="44" t="inlineStr">
        <is>
          <t>Natural Resources</t>
        </is>
      </c>
      <c r="K9" s="44" t="inlineStr">
        <is>
          <t>&lt;/i&gt;</t>
        </is>
      </c>
      <c r="L9" s="4">
        <f>IF(ISBLANK(N9),"","&lt;br&gt;")</f>
        <v/>
      </c>
      <c r="M9" s="42">
        <f>IF(ISBLANK(R9),"&lt;b&gt;","&lt;i&gt;")</f>
        <v/>
      </c>
      <c r="N9" s="42" t="inlineStr">
        <is>
          <t>Dept. of Environmental Quality</t>
        </is>
      </c>
      <c r="O9" s="42">
        <f>IF(ISBLANK(R9),"&lt;/b&gt;","&lt;/i&gt;")</f>
        <v/>
      </c>
      <c r="P9" s="4">
        <f>IF(ISBLANK(R9),"","&lt;br&gt;")</f>
        <v/>
      </c>
      <c r="Q9" s="42">
        <f>IF(ISBLANK(R9),"","&lt;b&gt;")</f>
        <v/>
      </c>
      <c r="R9" s="42" t="n"/>
      <c r="S9" s="42">
        <f>IF(ISBLANK(R9),"","&lt;/i&gt;")</f>
        <v/>
      </c>
      <c r="T9" s="43">
        <f>IF(ISBLANK(X9),"",IF(OR(AB9="PASSED",ISBLANK(N9)),"&lt;b&gt;","&lt;i&gt;"))</f>
        <v/>
      </c>
      <c r="U9" s="3">
        <f>IF(ISBLANK(V9),"","&lt;a href='")</f>
        <v/>
      </c>
      <c r="V9" s="39" t="inlineStr">
        <is>
          <t>https://legislature.idaho.gov/sessioninfo/2026/legislation/S1363/</t>
        </is>
      </c>
      <c r="W9" s="17">
        <f>IF(ISBLANK(V9),"","'&gt;")</f>
        <v/>
      </c>
      <c r="X9" s="12" t="inlineStr">
        <is>
          <t>Senate Bill 1363</t>
        </is>
      </c>
      <c r="Y9" s="17">
        <f>IF(ISBLANK(X9),"","&lt;/a&gt;")</f>
        <v/>
      </c>
      <c r="Z9" s="42">
        <f>IF(ISBLANK(X9),"",IF(OR(AB9="PASSED",ISBLANK(N9)),"&lt;/b&gt;","&lt;/i&gt;"))</f>
        <v/>
      </c>
      <c r="AA9" s="43">
        <f>IF(AB9="PASSED","&lt;b&gt;","")</f>
        <v/>
      </c>
      <c r="AB9" s="45" t="inlineStr">
        <is>
          <t>ADVANCED</t>
        </is>
      </c>
      <c r="AC9" s="43">
        <f>IF(AB9="PASSED","&lt;/b&gt;","")</f>
        <v/>
      </c>
      <c r="AD9" s="43">
        <f>IF(ISBLANK(AE9),"","&lt;b&gt;")</f>
        <v/>
      </c>
      <c r="AE9" s="46" t="inlineStr">
        <is>
          <t>03/10</t>
        </is>
      </c>
      <c r="AF9" s="42">
        <f>IF(ISBLANK(AE9),"",": ")</f>
        <v/>
      </c>
      <c r="AG9" s="42" t="inlineStr">
        <is>
          <t>Senate Vote 28-7</t>
        </is>
      </c>
      <c r="AH9" s="42">
        <f>IF(ISBLANK(AE9),"","&lt;/b&gt;")</f>
        <v/>
      </c>
      <c r="AI9" s="42" t="inlineStr">
        <is>
          <t>02/13: FY27 reduction (-5%)</t>
        </is>
      </c>
      <c r="AJ9" s="42">
        <f>IF(ISBLANK(AI9),"","&lt;br&gt;"&amp;AI9)</f>
        <v/>
      </c>
      <c r="AK9" s="4" t="inlineStr">
        <is>
          <t>&lt;br&gt;</t>
        </is>
      </c>
      <c r="AL9" s="42" t="inlineStr">
        <is>
          <t>&lt;b&gt;&lt;i&gt;</t>
        </is>
      </c>
      <c r="AM9" s="42" t="inlineStr">
        <is>
          <t>Governor's 3% + JFAC's 2%</t>
        </is>
      </c>
      <c r="AN9" s="42">
        <f>IF(ISBLANK(AM9),"","&lt;/i&gt;")</f>
        <v/>
      </c>
      <c r="AO9" s="35">
        <f>IF(ISBLANK(AQ9),"","&lt;/b&gt;&lt;br&gt;&lt;br&gt;")</f>
        <v/>
      </c>
      <c r="AP9" s="42">
        <f>IF(ISBLANK(AQ9),"","&lt;b&gt;")</f>
        <v/>
      </c>
      <c r="AQ9" s="47" t="inlineStr">
        <is>
          <t xml:space="preserve">Agency Reduction Plan:&lt;br&gt;Additional </t>
        </is>
      </c>
      <c r="AR9" s="42" t="n">
        <v>2</v>
      </c>
      <c r="AS9" s="4">
        <f>IF(ISBLANK(AR9),""," %")</f>
        <v/>
      </c>
      <c r="AT9" s="4">
        <f t="array" ref="AT9">_xlfn.IFS(NOT(ISBLANK(AU9))," (pgs. ",NOT(ISBLANK(AS9))," (pg. ", ISBLANK(AS9), "")</f>
        <v/>
      </c>
      <c r="AU9" s="52" t="n">
        <v>129</v>
      </c>
      <c r="AV9" s="4">
        <f>IF(ISBLANK(AW9),"",", ")</f>
        <v/>
      </c>
      <c r="AW9" s="53" t="n">
        <v>130</v>
      </c>
      <c r="AX9" s="4">
        <f>IF(ISBLANK(AY9),"",",&lt;br&gt;")</f>
        <v/>
      </c>
      <c r="AY9" s="53" t="n">
        <v>131</v>
      </c>
      <c r="AZ9" s="49">
        <f>IF(ISBLANK(AU9),"",")&lt;/b&gt;")</f>
        <v/>
      </c>
      <c r="BA9" s="4">
        <f>IF(ISBLANK(BC9),"","&lt;br&gt;")</f>
        <v/>
      </c>
      <c r="BB9" s="42">
        <f t="array" ref="BB9">IF(ISBLANK(BC9),"",_xlfn.LET(
_xlpm.words,_xlfn.TEXTSPLIT(TRIM(BC9),"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9" s="50" t="inlineStr">
        <is>
          <t>These reductions would not require reductions in force or furloughs in FY 2026 or FY 2027. However, a 1% reduction would result in the elimination of 1 FTP that is currently vacant and a 2% reduction would result in the elimination of 2 FTPs that are currently vacant. Option 1 for our 2% reduction would also impact positions associated with the Bear Lake Regional Commission and the North Idaho Lakes Commission. Option 2 for our 2% reduction would mean we hire half the number of seasonal teams each year to do water quality assessments instead of the usual 6 teams to cover our 6 regional offices. $200,000 reduction in Trustee/Benefit (T/B) expenditures for the Water Quality appropriation unit (DQAD) - The reduction to the Water Quality appropriation unit (DQAD) would reduce statewide water quality monitoring, response capacity, and data collection that support Clean Water Act programs. The agency is legally required to conduct monitoring, assessments, and TMDL development, and reduced monitoring strains the state’s ability to meet these obligations and maintain critical monitoring equipment. For SFY 2026, this represents a $450,300 reduction, or approximately a 32% decrease, in funding for water quality monitoring and related activities. These reductions affect field monitoring, laboratory analysis, equipment maintenance, data management, and interagency response, in a program area where funding needs already exceed available appropriation. The most immediate impact is the elimination of remaining funding for Harmful Algal Bloom (HAB) monitoring and response in SFY 2026, eliminating the agency’s ability to confirm toxicity, assess risk, and support timely public health decisions. Approximately 50% of planned sampling on Lake Coeur d’Alene would also be eliminated, along with reductions to statewide monitoring locations and sampling frequency. Reduced monitoring and assessment slow TMDL development, extend cleanup timelines, and increase compliance risk. These reductions also directly affect the agency’s ability to issue new or renewed discharge permits, as limited data and delayed cleanup plans increase permitting timelines, reliance on conservative assumptions, and regulatory uncertainty for permit holders. $22,700 reduction in operating expenditures for the Administration and Support appropriation unit (DQAB) - The reduction to DQAB would result in less funding to support critical software licenses, computer inventory, vehicle maintenance and repairs, training, and other expenses supporting overall agency operations. It would also impact the ability for leadership located within Boise to travel to regional offices, and to meet with stakeholders. $70,900 elimination of vacant financial technician position - DEQ has been rebuilding its fiscal office for close to a year. Approximately 15 of 20 positions have turned over during that time. DEQ has reorganized its fiscal office and has been very intentional in evaluating and filling each position. Eliminating this position will strain a group that is already struggling to keep up with the thousands of transactions that are processed each year. $59,900 elimination of toxicologist position - DEQ’s toxicologist position is funded with a combination of general funds, federal funds, and cost recovery. Recent federal funding concerns caused DEQ to hold the position vacant. Now that the federal budget has been set, DEQ planned to move forward with filling the vacancy. This position is critical for our ability to defend decisions we make, for example it has been vital in developing our human health criteria for toxics in our water quality program, and in defending the air quality permit that we issued for a large mining project. Not filling this vacancy will significantly compromise our ability to defend decisions DEQ makes that are beneficial to the state of Idaho. Eliminate Funding for the North Idaho “Lakes Commission” - The Lakes Commission is an advisory board to the State of Idaho and per statute we are charged with studying, investigating, and selecting ways and means of controlling the water quality and water quantity as they relate to waters of Lake Pend Oreille, Pend Oreille River, Priest Lake and Priest River for the community’s interests and the interests of the State of Idaho and for the survival of the native species fish contiguous to the Pend Oreille/Priest River. The Lakes Commission is not a water resource management or regulatory agency. However, eliminating DEQ’s funding would eliminate the executive director’s position, and the commission would no longer have any staff to support it in carrying out the purposes it was created for. Eliminate Funding for the Bear Lake Regional Commission - The Bear Lake Regional Commission deals with managing growth on the unique regional resource of Bear Lake. The Commission has five major goals: To acknowledge the Bear Lake Valley as a resource of regional significance and provide for its continued utilization and preservation; To provide for the maximum public benefit of valley resources at a minimum public cost along with preservation of natural resources; To coordinate public and private interests, including the local, regional, state and federal governments in the long-term management of the Bear Lake Valley environment; To maintain technical staff competent to advise or assist local government; To develop and assist in the implementation of a total planning program based on the natural environmental constraints of the air, land, and water. The Regional Commission is not a water resource management or regulatory agency. However, eliminating DEQ’s funding would impact the Commission’s budget and make it more difficult to carry out the purposes it was created for. Two-year Reduced “BURP” Water Quality Monitoring and Assessment - DEQ’s program, circa 1994, utilizes seasonal staff to collect statewide data on the health of Idaho’s waterways. This data is foundational to state Clean Water Act primacy. For FY27 and FY28, DEQ could reduce the number of crews by half. This would result in a one-year gap in data in each of our regional offices over that 2-year period, but it could be managed. DEQ would need to request additional general funds in FY29 to return to 6 crews. Longer-term data gaps significantly undermine DEQ’s ability to carry out responsibilities required by state law and the Clean Water Act.</t>
        </is>
      </c>
    </row>
    <row r="10">
      <c r="A10" s="20">
        <f>_xlfn.TEXTJOIN("", TRUE, F10:H10)</f>
        <v/>
      </c>
      <c r="B10" s="21">
        <f>_xlfn.TEXTJOIN("", TRUE, I10:S10)</f>
        <v/>
      </c>
      <c r="C10" s="21">
        <f>IF(ISBLANK(X10),"", _xlfn.TEXTJOIN("",TRUE,T10:Z10))</f>
        <v/>
      </c>
      <c r="D10" s="21">
        <f>IF(ISBLANK(AB10), "", _xlfn.TEXTJOIN("", TRUE, AA10:AC10))</f>
        <v/>
      </c>
      <c r="E10" s="22">
        <f>IF(AU10="NA", _xlfn.TEXTJOIN("", TRUE, AD10:AH10), _xlfn.TEXTJOIN("", TRUE, AD10:AJ10))</f>
        <v/>
      </c>
      <c r="F10" s="42">
        <f>IF(LEFT(G10,4)="FY26","&lt;b&gt;","&lt;i&gt;")</f>
        <v/>
      </c>
      <c r="G10" s="42" t="inlineStr">
        <is>
          <t>FY27 Maintenance</t>
        </is>
      </c>
      <c r="H10" s="42">
        <f>IF(LEFT(G10,4)="FY26","&lt;/b&gt;","&lt;/i&gt;")</f>
        <v/>
      </c>
      <c r="I10" s="43" t="inlineStr">
        <is>
          <t>&lt;i&gt;</t>
        </is>
      </c>
      <c r="J10" s="44" t="inlineStr">
        <is>
          <t>Natural Resources</t>
        </is>
      </c>
      <c r="K10" s="44" t="inlineStr">
        <is>
          <t>&lt;/i&gt;</t>
        </is>
      </c>
      <c r="L10" s="4">
        <f>IF(ISBLANK(N10),"","&lt;br&gt;")</f>
        <v/>
      </c>
      <c r="M10" s="42">
        <f>IF(ISBLANK(R10),"&lt;b&gt;","&lt;i&gt;")</f>
        <v/>
      </c>
      <c r="N10" s="42" t="inlineStr">
        <is>
          <t>Dept. of Fish &amp; Game</t>
        </is>
      </c>
      <c r="O10" s="42">
        <f>IF(ISBLANK(R10),"&lt;/b&gt;","&lt;/i&gt;")</f>
        <v/>
      </c>
      <c r="P10" s="4">
        <f>IF(ISBLANK(R10),"","&lt;br&gt;")</f>
        <v/>
      </c>
      <c r="Q10" s="42">
        <f>IF(ISBLANK(R10),"","&lt;b&gt;")</f>
        <v/>
      </c>
      <c r="R10" s="42" t="n"/>
      <c r="S10" s="42">
        <f>IF(ISBLANK(R10),"","&lt;/i&gt;")</f>
        <v/>
      </c>
      <c r="T10" s="43">
        <f>IF(ISBLANK(X10),"",IF(OR(AB10="PASSED",ISBLANK(N10)),"&lt;b&gt;","&lt;i&gt;"))</f>
        <v/>
      </c>
      <c r="U10" s="3">
        <f>IF(ISBLANK(V10),"","&lt;a href='")</f>
        <v/>
      </c>
      <c r="V10" s="39" t="inlineStr">
        <is>
          <t>https://legislature.idaho.gov/sessioninfo/2026/legislation/S1363/</t>
        </is>
      </c>
      <c r="W10" s="17">
        <f>IF(ISBLANK(V10),"","'&gt;")</f>
        <v/>
      </c>
      <c r="X10" s="12" t="inlineStr">
        <is>
          <t>Senate Bill 1363</t>
        </is>
      </c>
      <c r="Y10" s="17">
        <f>IF(ISBLANK(X10),"","&lt;/a&gt;")</f>
        <v/>
      </c>
      <c r="Z10" s="42">
        <f>IF(ISBLANK(X10),"",IF(OR(AB10="PASSED",ISBLANK(N10)),"&lt;/b&gt;","&lt;/i&gt;"))</f>
        <v/>
      </c>
      <c r="AA10" s="43">
        <f>IF(AB10="PASSED","&lt;b&gt;","")</f>
        <v/>
      </c>
      <c r="AB10" s="45" t="inlineStr">
        <is>
          <t>ADVANCED</t>
        </is>
      </c>
      <c r="AC10" s="43">
        <f>IF(AB10="PASSED","&lt;/b&gt;","")</f>
        <v/>
      </c>
      <c r="AD10" s="43">
        <f>IF(ISBLANK(AE10),"","&lt;b&gt;")</f>
        <v/>
      </c>
      <c r="AE10" s="51" t="inlineStr">
        <is>
          <t>03/10</t>
        </is>
      </c>
      <c r="AF10" s="42">
        <f>IF(ISBLANK(AE10),"",": ")</f>
        <v/>
      </c>
      <c r="AG10" s="42" t="inlineStr">
        <is>
          <t>Senate Vote 28-7</t>
        </is>
      </c>
      <c r="AH10" s="42">
        <f>IF(ISBLANK(AE10),"","&lt;/b&gt;")</f>
        <v/>
      </c>
      <c r="AI10" s="42" t="inlineStr">
        <is>
          <t>02/13: FY27 reduction (-5%)</t>
        </is>
      </c>
      <c r="AJ10" s="42">
        <f>IF(ISBLANK(AI10),"","&lt;br&gt;"&amp;AI10)</f>
        <v/>
      </c>
      <c r="AK10" s="4" t="inlineStr">
        <is>
          <t>&lt;br&gt;</t>
        </is>
      </c>
      <c r="AL10" s="42" t="inlineStr">
        <is>
          <t>&lt;b&gt;&lt;i&gt;</t>
        </is>
      </c>
      <c r="AM10" s="42" t="inlineStr">
        <is>
          <t>Governor's 3% + JFAC's 2%</t>
        </is>
      </c>
      <c r="AN10" s="42">
        <f>IF(ISBLANK(AM10),"","&lt;/i&gt;")</f>
        <v/>
      </c>
      <c r="AO10" s="35">
        <f>IF(ISBLANK(AQ10),"","&lt;/b&gt;&lt;br&gt;&lt;br&gt;")</f>
        <v/>
      </c>
      <c r="AP10" s="42">
        <f>IF(ISBLANK(AQ10),"","&lt;b&gt;")</f>
        <v/>
      </c>
      <c r="AQ10" s="47" t="inlineStr">
        <is>
          <t xml:space="preserve">Agency Reduction Plan:&lt;br&gt;Additional </t>
        </is>
      </c>
      <c r="AR10" s="42" t="n">
        <v>2</v>
      </c>
      <c r="AS10" s="4">
        <f>IF(ISBLANK(AR10),""," %")</f>
        <v/>
      </c>
      <c r="AT10" s="4">
        <f t="array" ref="AT10">_xlfn.IFS(NOT(ISBLANK(AU10))," (pgs. ",NOT(ISBLANK(AS10))," (pg. ", ISBLANK(AS10), "")</f>
        <v/>
      </c>
      <c r="AU10" s="52" t="inlineStr">
        <is>
          <t>NA</t>
        </is>
      </c>
      <c r="AV10" s="4">
        <f>IF(ISBLANK(AW10),"",", ")</f>
        <v/>
      </c>
      <c r="AW10" s="42" t="n"/>
      <c r="AX10" s="4">
        <f>IF(ISBLANK(AY10),"",",&lt;br&gt;")</f>
        <v/>
      </c>
      <c r="AY10" s="42" t="n"/>
      <c r="AZ10" s="49">
        <f>IF(ISBLANK(AU10),"",")&lt;/b&gt;")</f>
        <v/>
      </c>
      <c r="BA10" s="4">
        <f>IF(ISBLANK(BC10),"","&lt;br&gt;")</f>
        <v/>
      </c>
      <c r="BB10" s="42">
        <f t="array" ref="BB10">IF(ISBLANK(BC10),"",_xlfn.LET(
_xlpm.words,_xlfn.TEXTSPLIT(TRIM(BC10),"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0" s="50" t="n"/>
    </row>
    <row r="11">
      <c r="A11" s="20">
        <f>_xlfn.TEXTJOIN("", TRUE, F11:H11)</f>
        <v/>
      </c>
      <c r="B11" s="21">
        <f>_xlfn.TEXTJOIN("", TRUE, I11:S11)</f>
        <v/>
      </c>
      <c r="C11" s="21">
        <f>IF(ISBLANK(X11),"", _xlfn.TEXTJOIN("",TRUE,T11:Z11))</f>
        <v/>
      </c>
      <c r="D11" s="21">
        <f>IF(ISBLANK(AB11), "", _xlfn.TEXTJOIN("", TRUE, AA11:AC11))</f>
        <v/>
      </c>
      <c r="E11" s="22">
        <f>IF(AU11="NA", _xlfn.TEXTJOIN("", TRUE, AD11:AH11), _xlfn.TEXTJOIN("", TRUE, AD11:AJ11))</f>
        <v/>
      </c>
      <c r="F11" s="42">
        <f>IF(LEFT(G11,4)="FY26","&lt;b&gt;","&lt;i&gt;")</f>
        <v/>
      </c>
      <c r="G11" s="42" t="inlineStr">
        <is>
          <t>FY27 Maintenance</t>
        </is>
      </c>
      <c r="H11" s="42">
        <f>IF(LEFT(G11,4)="FY26","&lt;/b&gt;","&lt;/i&gt;")</f>
        <v/>
      </c>
      <c r="I11" s="43" t="inlineStr">
        <is>
          <t>&lt;i&gt;</t>
        </is>
      </c>
      <c r="J11" s="44" t="inlineStr">
        <is>
          <t>Natural Resources</t>
        </is>
      </c>
      <c r="K11" s="44" t="inlineStr">
        <is>
          <t>&lt;/i&gt;</t>
        </is>
      </c>
      <c r="L11" s="4">
        <f>IF(ISBLANK(N11),"","&lt;br&gt;")</f>
        <v/>
      </c>
      <c r="M11" s="42">
        <f>IF(ISBLANK(R11),"&lt;b&gt;","&lt;i&gt;")</f>
        <v/>
      </c>
      <c r="N11" s="42" t="inlineStr">
        <is>
          <t>Dept. of Parks &amp; Recreation</t>
        </is>
      </c>
      <c r="O11" s="42">
        <f>IF(ISBLANK(R11),"&lt;/b&gt;","&lt;/i&gt;")</f>
        <v/>
      </c>
      <c r="P11" s="4">
        <f>IF(ISBLANK(R11),"","&lt;br&gt;")</f>
        <v/>
      </c>
      <c r="Q11" s="42">
        <f>IF(ISBLANK(R11),"","&lt;b&gt;")</f>
        <v/>
      </c>
      <c r="R11" s="42" t="n"/>
      <c r="S11" s="42">
        <f>IF(ISBLANK(R11),"","&lt;/i&gt;")</f>
        <v/>
      </c>
      <c r="T11" s="43">
        <f>IF(ISBLANK(X11),"",IF(OR(AB11="PASSED",ISBLANK(N11)),"&lt;b&gt;","&lt;i&gt;"))</f>
        <v/>
      </c>
      <c r="U11" s="3">
        <f>IF(ISBLANK(V11),"","&lt;a href='")</f>
        <v/>
      </c>
      <c r="V11" s="39" t="inlineStr">
        <is>
          <t>https://legislature.idaho.gov/sessioninfo/2026/legislation/S1363/</t>
        </is>
      </c>
      <c r="W11" s="17">
        <f>IF(ISBLANK(V11),"","'&gt;")</f>
        <v/>
      </c>
      <c r="X11" s="12" t="inlineStr">
        <is>
          <t>Senate Bill 1363</t>
        </is>
      </c>
      <c r="Y11" s="17">
        <f>IF(ISBLANK(X11),"","&lt;/a&gt;")</f>
        <v/>
      </c>
      <c r="Z11" s="42">
        <f>IF(ISBLANK(X11),"",IF(OR(AB11="PASSED",ISBLANK(N11)),"&lt;/b&gt;","&lt;/i&gt;"))</f>
        <v/>
      </c>
      <c r="AA11" s="43">
        <f>IF(AB11="PASSED","&lt;b&gt;","")</f>
        <v/>
      </c>
      <c r="AB11" s="45" t="inlineStr">
        <is>
          <t>ADVANCED</t>
        </is>
      </c>
      <c r="AC11" s="43">
        <f>IF(AB11="PASSED","&lt;/b&gt;","")</f>
        <v/>
      </c>
      <c r="AD11" s="43">
        <f>IF(ISBLANK(AE11),"","&lt;b&gt;")</f>
        <v/>
      </c>
      <c r="AE11" s="51" t="inlineStr">
        <is>
          <t>03/10</t>
        </is>
      </c>
      <c r="AF11" s="42">
        <f>IF(ISBLANK(AE11),"",": ")</f>
        <v/>
      </c>
      <c r="AG11" s="42" t="inlineStr">
        <is>
          <t>Senate Vote 28-7</t>
        </is>
      </c>
      <c r="AH11" s="42">
        <f>IF(ISBLANK(AE11),"","&lt;/b&gt;")</f>
        <v/>
      </c>
      <c r="AI11" s="42" t="inlineStr">
        <is>
          <t>02/13: FY27 reduction (-5%)</t>
        </is>
      </c>
      <c r="AJ11" s="42">
        <f>IF(ISBLANK(AI11),"","&lt;br&gt;"&amp;AI11)</f>
        <v/>
      </c>
      <c r="AK11" s="4" t="inlineStr">
        <is>
          <t>&lt;br&gt;</t>
        </is>
      </c>
      <c r="AL11" s="42" t="inlineStr">
        <is>
          <t>&lt;b&gt;&lt;i&gt;</t>
        </is>
      </c>
      <c r="AM11" s="42" t="inlineStr">
        <is>
          <t>Governor's 3% + JFAC's 2%</t>
        </is>
      </c>
      <c r="AN11" s="42">
        <f>IF(ISBLANK(AM11),"","&lt;/i&gt;")</f>
        <v/>
      </c>
      <c r="AO11" s="35">
        <f>IF(ISBLANK(AQ11),"","&lt;/b&gt;&lt;br&gt;&lt;br&gt;")</f>
        <v/>
      </c>
      <c r="AP11" s="42">
        <f>IF(ISBLANK(AQ11),"","&lt;b&gt;")</f>
        <v/>
      </c>
      <c r="AQ11" s="47" t="inlineStr">
        <is>
          <t xml:space="preserve">Agency Reduction Plan:&lt;br&gt;Additional </t>
        </is>
      </c>
      <c r="AR11" s="42" t="n">
        <v>2</v>
      </c>
      <c r="AS11" s="4">
        <f>IF(ISBLANK(AR11),""," %")</f>
        <v/>
      </c>
      <c r="AT11" s="4">
        <f t="array" ref="AT11">_xlfn.IFS(NOT(ISBLANK(AU11))," (pgs. ",NOT(ISBLANK(AS11))," (pg. ", ISBLANK(AS11), "")</f>
        <v/>
      </c>
      <c r="AU11" s="52" t="n">
        <v>136</v>
      </c>
      <c r="AV11" s="4">
        <f>IF(ISBLANK(AW11),"",", ")</f>
        <v/>
      </c>
      <c r="AW11" s="42" t="n"/>
      <c r="AX11" s="4">
        <f>IF(ISBLANK(AY11),"",",&lt;br&gt;")</f>
        <v/>
      </c>
      <c r="AY11" s="42" t="n"/>
      <c r="AZ11" s="49">
        <f>IF(ISBLANK(AU11),"",")&lt;/b&gt;")</f>
        <v/>
      </c>
      <c r="BA11" s="4">
        <f>IF(ISBLANK(BC11),"","&lt;br&gt;")</f>
        <v/>
      </c>
      <c r="BB11" s="42">
        <f t="array" ref="BB11">IF(ISBLANK(BC11),"",_xlfn.LET(
_xlpm.words,_xlfn.TEXTSPLIT(TRIM(BC11),"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1" s="50" t="inlineStr">
        <is>
          <t>Budget reductions will cut allocations to pay for utilities, cleaning, stocking, maintenance of facilities like comfort stations, visitor centers, dump stations, road maintenance, and waste removal... IDPR is continuing to recover from the 80% reduction in General Fund from FY 2011 all while addressing the sustained increase in visitation due to COVID. The goal is not to close any park facilities indefinitely or reduce hours of operations, unfortunately further cuts could result in that becoming a reality. Affected programs and services from these suggested reductions were not added to the budget, rather they are essential existing functions of the IDPR operating costs. Fixed costs for facility maintenance, employee health benefits, statewide Risk Management, and ITS costs have risen without an increase in revenue to pay for these changes. Further budget reductions for FY 2026 for the Idaho Department of Parks and Recreation would be disruptive to department operations. If this legislation was passed there would be only a few months to implement a plan.</t>
        </is>
      </c>
    </row>
    <row r="12">
      <c r="A12" s="20">
        <f>_xlfn.TEXTJOIN("", TRUE, F12:H12)</f>
        <v/>
      </c>
      <c r="B12" s="21">
        <f>_xlfn.TEXTJOIN("", TRUE, I12:S12)</f>
        <v/>
      </c>
      <c r="C12" s="21">
        <f>IF(ISBLANK(X12),"", _xlfn.TEXTJOIN("",TRUE,T12:Z12))</f>
        <v/>
      </c>
      <c r="D12" s="21">
        <f>IF(ISBLANK(AB12), "", _xlfn.TEXTJOIN("", TRUE, AA12:AC12))</f>
        <v/>
      </c>
      <c r="E12" s="22">
        <f>IF(AU12="NA", _xlfn.TEXTJOIN("", TRUE, AD12:AH12), _xlfn.TEXTJOIN("", TRUE, AD12:AJ12))</f>
        <v/>
      </c>
      <c r="F12" s="42">
        <f>IF(LEFT(G12,4)="FY26","&lt;b&gt;","&lt;i&gt;")</f>
        <v/>
      </c>
      <c r="G12" s="42" t="inlineStr">
        <is>
          <t>FY27 Maintenance</t>
        </is>
      </c>
      <c r="H12" s="42">
        <f>IF(LEFT(G12,4)="FY26","&lt;/b&gt;","&lt;/i&gt;")</f>
        <v/>
      </c>
      <c r="I12" s="43" t="inlineStr">
        <is>
          <t>&lt;i&gt;</t>
        </is>
      </c>
      <c r="J12" s="44" t="inlineStr">
        <is>
          <t>Natural Resources</t>
        </is>
      </c>
      <c r="K12" s="44" t="inlineStr">
        <is>
          <t>&lt;/i&gt;</t>
        </is>
      </c>
      <c r="L12" s="4">
        <f>IF(ISBLANK(N12),"","&lt;br&gt;")</f>
        <v/>
      </c>
      <c r="M12" s="42">
        <f>IF(ISBLANK(R12),"&lt;b&gt;","&lt;i&gt;")</f>
        <v/>
      </c>
      <c r="N12" s="42" t="inlineStr">
        <is>
          <t>Dept. of Water Resources</t>
        </is>
      </c>
      <c r="O12" s="42">
        <f>IF(ISBLANK(R12),"&lt;/b&gt;","&lt;/i&gt;")</f>
        <v/>
      </c>
      <c r="P12" s="4">
        <f>IF(ISBLANK(R12),"","&lt;br&gt;")</f>
        <v/>
      </c>
      <c r="Q12" s="42">
        <f>IF(ISBLANK(R12),"","&lt;b&gt;")</f>
        <v/>
      </c>
      <c r="R12" s="42" t="n"/>
      <c r="S12" s="42">
        <f>IF(ISBLANK(R12),"","&lt;/i&gt;")</f>
        <v/>
      </c>
      <c r="T12" s="43">
        <f>IF(ISBLANK(X12),"",IF(OR(AB12="PASSED",ISBLANK(N12)),"&lt;b&gt;","&lt;i&gt;"))</f>
        <v/>
      </c>
      <c r="U12" s="3">
        <f>IF(ISBLANK(V12),"","&lt;a href='")</f>
        <v/>
      </c>
      <c r="V12" s="39" t="inlineStr">
        <is>
          <t>https://legislature.idaho.gov/sessioninfo/2026/legislation/S1363/</t>
        </is>
      </c>
      <c r="W12" s="17">
        <f>IF(ISBLANK(V12),"","'&gt;")</f>
        <v/>
      </c>
      <c r="X12" s="12" t="inlineStr">
        <is>
          <t>Senate Bill 1363</t>
        </is>
      </c>
      <c r="Y12" s="17">
        <f>IF(ISBLANK(X12),"","&lt;/a&gt;")</f>
        <v/>
      </c>
      <c r="Z12" s="42">
        <f>IF(ISBLANK(X12),"",IF(OR(AB12="PASSED",ISBLANK(N12)),"&lt;/b&gt;","&lt;/i&gt;"))</f>
        <v/>
      </c>
      <c r="AA12" s="43">
        <f>IF(AB12="PASSED","&lt;b&gt;","")</f>
        <v/>
      </c>
      <c r="AB12" s="45" t="inlineStr">
        <is>
          <t>ADVANCED</t>
        </is>
      </c>
      <c r="AC12" s="43">
        <f>IF(AB12="PASSED","&lt;/b&gt;","")</f>
        <v/>
      </c>
      <c r="AD12" s="43">
        <f>IF(ISBLANK(AE12),"","&lt;b&gt;")</f>
        <v/>
      </c>
      <c r="AE12" s="51" t="inlineStr">
        <is>
          <t>03/10</t>
        </is>
      </c>
      <c r="AF12" s="42">
        <f>IF(ISBLANK(AE12),"",": ")</f>
        <v/>
      </c>
      <c r="AG12" s="42" t="inlineStr">
        <is>
          <t>Senate Vote 28-7</t>
        </is>
      </c>
      <c r="AH12" s="42">
        <f>IF(ISBLANK(AE12),"","&lt;/b&gt;")</f>
        <v/>
      </c>
      <c r="AI12" s="42" t="inlineStr">
        <is>
          <t>02/13: FY27 reduction (-5%)</t>
        </is>
      </c>
      <c r="AJ12" s="42">
        <f>IF(ISBLANK(AI12),"","&lt;br&gt;"&amp;AI12)</f>
        <v/>
      </c>
      <c r="AK12" s="4" t="inlineStr">
        <is>
          <t>&lt;br&gt;</t>
        </is>
      </c>
      <c r="AL12" s="42" t="inlineStr">
        <is>
          <t>&lt;b&gt;&lt;i&gt;</t>
        </is>
      </c>
      <c r="AM12" s="42" t="inlineStr">
        <is>
          <t>Governor's 3% + JFAC's 2%</t>
        </is>
      </c>
      <c r="AN12" s="42">
        <f>IF(ISBLANK(AM12),"","&lt;/i&gt;")</f>
        <v/>
      </c>
      <c r="AO12" s="35">
        <f>IF(ISBLANK(AQ12),"","&lt;/b&gt;&lt;br&gt;&lt;br&gt;")</f>
        <v/>
      </c>
      <c r="AP12" s="42">
        <f>IF(ISBLANK(AQ12),"","&lt;b&gt;")</f>
        <v/>
      </c>
      <c r="AQ12" s="47" t="inlineStr">
        <is>
          <t xml:space="preserve">Agency Reduction Plan:&lt;br&gt;Additional </t>
        </is>
      </c>
      <c r="AR12" s="42" t="n">
        <v>2</v>
      </c>
      <c r="AS12" s="4">
        <f>IF(ISBLANK(AR12),""," %")</f>
        <v/>
      </c>
      <c r="AT12" s="4">
        <f t="array" ref="AT12">_xlfn.IFS(NOT(ISBLANK(AU12))," (pgs. ",NOT(ISBLANK(AS12))," (pg. ", ISBLANK(AS12), "")</f>
        <v/>
      </c>
      <c r="AU12" s="52" t="n">
        <v>141</v>
      </c>
      <c r="AV12" s="4">
        <f>IF(ISBLANK(AW12),"",", ")</f>
        <v/>
      </c>
      <c r="AW12" s="53" t="n">
        <v>142</v>
      </c>
      <c r="AX12" s="4">
        <f>IF(ISBLANK(AY12),"",",&lt;br&gt;")</f>
        <v/>
      </c>
      <c r="AY12" s="42" t="n"/>
      <c r="AZ12" s="49">
        <f>IF(ISBLANK(AU12),"",")&lt;/b&gt;")</f>
        <v/>
      </c>
      <c r="BA12" s="4">
        <f>IF(ISBLANK(BC12),"","&lt;br&gt;")</f>
        <v/>
      </c>
      <c r="BB12" s="42">
        <f t="array" ref="BB12">IF(ISBLANK(BC12),"",_xlfn.LET(
_xlpm.words,_xlfn.TEXTSPLIT(TRIM(BC12),"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2" s="50" t="inlineStr">
        <is>
          <t>IDWR proposes shifting one FTP from the General Fund to the Northern Idaho Adjudication Fund (NIA). The legislature would need to create an appropriation of Personnel Costs in the NIA to implement this solution. Using NIA funds to pay for personnel costs earlier than planned shifts reliance on the General Fund to future years after the NIA Fund is exhausted, but the adjudication is not yet complete. IDWR currently projects the last NIA Director's Report to be filed in 2034, after which there will be an objection resolution period. Pursuant to this proposal, the NIA fund is likely to be depleted in FY2031. IDWR proposes shifting one FTP from the General Fund to the Bear River Basin Adjudication Fund (BRBA). The legislature would need to create an appropriation of Personnel Costs in the BRBA to implement this solution. Using BRBA funds to pay personnel costs earlier than planned shifts reliance on the General Fund to future years after the BRBA Fund is exhausted, but the adjudication is not yet complete. IDWR currently projects the last BRBA Director's Report to be filed in 2033, after which there will be an objection resolution period. Pursuant to this proposal, the BRBA Fund is likely to be depleted in FY2039. IDWR will not contract with MCCI to develop an online beneficial use form. By foregoing application development, the agency will continue manually entering data into the workflow process, scanning documents, and storing paper documents. Manual data entry takes time and increases the chance for errors. When staff are spending time entering data, they have less time for application evaluation and other water right permitting and licensing tasks. IDWR will reduce its replacement of portable flowmeters for closed conduits from three to two. Not replacing flowmeters consistent with our six-year rotation decreases their reliability, decreases their accuracy and precision, and may result in not enough usable meters for staff to efficiently use for necessary water allocation, water right adjudication, and water administration field work. IDWR will cancel the order placed with the auto dealer for three replacement field vehicles. Foregoing these replacements increases the risk of employees being stranded in remote areas during field operations and elevates employee safety risks associated with operating older, less reliable vehicles. IDWR does not request vehicle replacement until units have exceeded 100,000 miles or are more than fifteen years old. At that stage, vehicles are significantly more prone to age- and mileage-related mechanical failures. Continued use of vehicles scheduled for replacement increases the likelihood of breakdowns in remote areas with limited emergency response options. Reduced reliability forces staff to rely more heavily on the remaining lower-mileage vehicles, creating availability bottlenecks during peak field seasons, such as periods when curtailment orders are issued, and potentially limiting the Department’s ability to carry out time-sensitive field activities.</t>
        </is>
      </c>
    </row>
    <row r="13">
      <c r="A13" s="20">
        <f>_xlfn.TEXTJOIN("", TRUE, F13:H13)</f>
        <v/>
      </c>
      <c r="B13" s="21">
        <f>_xlfn.TEXTJOIN("", TRUE, I13:S13)</f>
        <v/>
      </c>
      <c r="C13" s="21">
        <f>IF(ISBLANK(X13),"", _xlfn.TEXTJOIN("",TRUE,T13:Z13))</f>
        <v/>
      </c>
      <c r="D13" s="21">
        <f>IF(ISBLANK(AB13), "", _xlfn.TEXTJOIN("", TRUE, AA13:AC13))</f>
        <v/>
      </c>
      <c r="E13" s="22">
        <f>IF(AU13="NA", _xlfn.TEXTJOIN("", TRUE, AD13:AH13), _xlfn.TEXTJOIN("", TRUE, AD13:AJ13))</f>
        <v/>
      </c>
      <c r="F13" s="42">
        <f>IF(LEFT(G13,4)="FY26","&lt;b&gt;","&lt;i&gt;")</f>
        <v/>
      </c>
      <c r="G13" s="42" t="inlineStr">
        <is>
          <t>FY27 Maintenance</t>
        </is>
      </c>
      <c r="H13" s="42">
        <f>IF(LEFT(G13,4)="FY26","&lt;/b&gt;","&lt;/i&gt;")</f>
        <v/>
      </c>
      <c r="I13" s="43" t="inlineStr">
        <is>
          <t>&lt;i&gt;</t>
        </is>
      </c>
      <c r="J13" s="44" t="inlineStr">
        <is>
          <t>Natural Resources</t>
        </is>
      </c>
      <c r="K13" s="44" t="inlineStr">
        <is>
          <t>&lt;/i&gt;</t>
        </is>
      </c>
      <c r="L13" s="4">
        <f>IF(ISBLANK(N13),"","&lt;br&gt;")</f>
        <v/>
      </c>
      <c r="M13" s="42">
        <f>IF(ISBLANK(R13),"&lt;b&gt;","&lt;i&gt;")</f>
        <v/>
      </c>
      <c r="N13" s="42" t="inlineStr">
        <is>
          <t>Land Board</t>
        </is>
      </c>
      <c r="O13" s="42">
        <f>IF(ISBLANK(R13),"&lt;/b&gt;","&lt;/i&gt;")</f>
        <v/>
      </c>
      <c r="P13" s="4">
        <f>IF(ISBLANK(R13),"","&lt;br&gt;")</f>
        <v/>
      </c>
      <c r="Q13" s="42">
        <f>IF(ISBLANK(R13),"","&lt;b&gt;")</f>
        <v/>
      </c>
      <c r="R13" s="42" t="inlineStr">
        <is>
          <t>Dept. of Lands</t>
        </is>
      </c>
      <c r="S13" s="42">
        <f>IF(ISBLANK(R13),"","&lt;/i&gt;")</f>
        <v/>
      </c>
      <c r="T13" s="43">
        <f>IF(ISBLANK(X13),"",IF(OR(AB13="PASSED",ISBLANK(N13)),"&lt;b&gt;","&lt;i&gt;"))</f>
        <v/>
      </c>
      <c r="U13" s="3">
        <f>IF(ISBLANK(V13),"","&lt;a href='")</f>
        <v/>
      </c>
      <c r="V13" s="39" t="inlineStr">
        <is>
          <t>https://legislature.idaho.gov/sessioninfo/2026/legislation/S1363/</t>
        </is>
      </c>
      <c r="W13" s="17">
        <f>IF(ISBLANK(V13),"","'&gt;")</f>
        <v/>
      </c>
      <c r="X13" s="12" t="inlineStr">
        <is>
          <t>Senate Bill 1363</t>
        </is>
      </c>
      <c r="Y13" s="17">
        <f>IF(ISBLANK(X13),"","&lt;/a&gt;")</f>
        <v/>
      </c>
      <c r="Z13" s="42">
        <f>IF(ISBLANK(X13),"",IF(OR(AB13="PASSED",ISBLANK(N13)),"&lt;/b&gt;","&lt;/i&gt;"))</f>
        <v/>
      </c>
      <c r="AA13" s="43">
        <f>IF(AB13="PASSED","&lt;b&gt;","")</f>
        <v/>
      </c>
      <c r="AB13" s="45" t="inlineStr">
        <is>
          <t>ADVANCED</t>
        </is>
      </c>
      <c r="AC13" s="43">
        <f>IF(AB13="PASSED","&lt;/b&gt;","")</f>
        <v/>
      </c>
      <c r="AD13" s="43">
        <f>IF(ISBLANK(AE13),"","&lt;b&gt;")</f>
        <v/>
      </c>
      <c r="AE13" s="51" t="inlineStr">
        <is>
          <t>03/10</t>
        </is>
      </c>
      <c r="AF13" s="42">
        <f>IF(ISBLANK(AE13),"",": ")</f>
        <v/>
      </c>
      <c r="AG13" s="42" t="inlineStr">
        <is>
          <t>Senate Vote 28-7</t>
        </is>
      </c>
      <c r="AH13" s="42">
        <f>IF(ISBLANK(AE13),"","&lt;/b&gt;")</f>
        <v/>
      </c>
      <c r="AI13" s="42" t="inlineStr">
        <is>
          <t>02/13: FY27 reduction (-5%)</t>
        </is>
      </c>
      <c r="AJ13" s="42">
        <f>IF(ISBLANK(AI13),"","&lt;br&gt;"&amp;AI13)</f>
        <v/>
      </c>
      <c r="AK13" s="4" t="inlineStr">
        <is>
          <t>&lt;br&gt;</t>
        </is>
      </c>
      <c r="AL13" s="42" t="inlineStr">
        <is>
          <t>&lt;b&gt;&lt;i&gt;</t>
        </is>
      </c>
      <c r="AM13" s="42" t="inlineStr">
        <is>
          <t>Governor's 3% + JFAC's 2%</t>
        </is>
      </c>
      <c r="AN13" s="42">
        <f>IF(ISBLANK(AM13),"","&lt;/i&gt;")</f>
        <v/>
      </c>
      <c r="AO13" s="35">
        <f>IF(ISBLANK(AQ13),"","&lt;/b&gt;&lt;br&gt;&lt;br&gt;")</f>
        <v/>
      </c>
      <c r="AP13" s="42">
        <f>IF(ISBLANK(AQ13),"","&lt;b&gt;")</f>
        <v/>
      </c>
      <c r="AQ13" s="47" t="inlineStr">
        <is>
          <t xml:space="preserve">Agency Reduction Plan:&lt;br&gt;Additional </t>
        </is>
      </c>
      <c r="AR13" s="42" t="n">
        <v>2</v>
      </c>
      <c r="AS13" s="4">
        <f>IF(ISBLANK(AR13),""," %")</f>
        <v/>
      </c>
      <c r="AT13" s="4">
        <f t="array" ref="AT13">_xlfn.IFS(NOT(ISBLANK(AU13))," (pgs. ",NOT(ISBLANK(AS13))," (pg. ", ISBLANK(AS13), "")</f>
        <v/>
      </c>
      <c r="AU13" s="52" t="n">
        <v>134</v>
      </c>
      <c r="AV13" s="4">
        <f>IF(ISBLANK(AW13),"",", ")</f>
        <v/>
      </c>
      <c r="AW13" s="53" t="n">
        <v>135</v>
      </c>
      <c r="AX13" s="4">
        <f>IF(ISBLANK(AY13),"",",&lt;br&gt;")</f>
        <v/>
      </c>
      <c r="AY13" s="42" t="n"/>
      <c r="AZ13" s="49">
        <f>IF(ISBLANK(AU13),"",")&lt;/b&gt;")</f>
        <v/>
      </c>
      <c r="BA13" s="4">
        <f>IF(ISBLANK(BC13),"","&lt;br&gt;")</f>
        <v/>
      </c>
      <c r="BB13" s="42">
        <f t="array" ref="BB13">IF(ISBLANK(BC13),"",_xlfn.LET(
_xlpm.words,_xlfn.TEXTSPLIT(TRIM(BC13),"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3" s="50" t="inlineStr">
        <is>
          <t>In the event of further reductions to our general fund appropriation, our wildfire suppression readiness could be significantly strained, particularly during a widespread, intense fire season across the West. While in light fire seasons, these impacts may be less visible, the risk to readiness and the potential need for greater future expenditures remain. Shifting Fire GF personnel to Fire Dedicated would, without an assessment increase via HB511, place additional impact on an already stressed fire dedicated fund. Seasonal firefighters are an essential part of the fire suppression effort as staff on fire engines and on fire crews. Those engines and crews are essential to providing effective initial attack on about 6.9 million acres of IDL protection and to meeting the Department's goal of suppressing 95% of fires at 10 acres or less. In the absence of an as-yet unidentified solution, fewer seasonal firefighters would be available to the IDL fire protective districts during the 2026 fire season and/or the duration of their seasonal employment would be reduced. To maintain the numbers of seasonal hires, the Department would have to utilize fire dedicated funds, potentially accelerating the decline of the fund balance in that account. Alternatively, the Department would look for opportunities to use federal funds, though that specific solution has not yet been identified and may not exist. Any alternative solution simply takes from one need to address another. Should fire initial attack effectiveness decrease due to reduced resource availability, the potential exists for larger and more expensive fires, which can quickly expend more from the general fund than the cost of appropriate staffing for effective initial attack. A large majority of the general funds in the IDL budget is in the Fire (LAAD)and Forestry Assistance (LAAB) budget units, which include fire preparedness, suppression, and proactive forest management programs like Good Neighbor Authority and Shared Stewardship. As such, when holdbacks are requested, these budget units must be a significant contributor to the reduced spending. The Department is committed to implementation of executive order 2025-04, the Make Forests Healthy Again Act, which directs the Department to help expedite active forest management and mitigate the risk of catastrophic fires. The Act also directs the Department to expand Good Neighbor Authority and also to expand Shared Stewardship to increase the pace and scale of fuel reduction projects and active forest management. Simply put, the goal is more acres treated (fuel reduction and forest health projects and/or timber harvest) on state, private, and federal lands. The Department has established a target to double the output of timber volume from GNA projects on federal lands over five years as a means of implementing executive order 2025-04 and assisting the US Forest Service with meeting the objectives of Presidential Orders and related federal Department direction. Department staff are directly involved with the planning and implementation of the forest management project in both GNA and Shared Stewardship, from NEPA analysis through field work and contract administration to completion. As funds are shifted from other sources (federal grants and GNA project funds) to replace the lost general fund there will be impacts on project implementation. The Department will mitigate the impacts as much as possible, but in summary, a reduction in funding is likely to impact the amount of work completed towards the goals of the Make Forests Healthy Again Act.</t>
        </is>
      </c>
    </row>
    <row r="14">
      <c r="A14" s="20">
        <f>_xlfn.TEXTJOIN("", TRUE, F14:H14)</f>
        <v/>
      </c>
      <c r="B14" s="21">
        <f>_xlfn.TEXTJOIN("", TRUE, I14:S14)</f>
        <v/>
      </c>
      <c r="C14" s="21">
        <f>IF(ISBLANK(X14),"", _xlfn.TEXTJOIN("",TRUE,T14:Z14))</f>
        <v/>
      </c>
      <c r="D14" s="21">
        <f>IF(ISBLANK(AB14), "", _xlfn.TEXTJOIN("", TRUE, AA14:AC14))</f>
        <v/>
      </c>
      <c r="E14" s="22">
        <f>IF(AU14="NA", _xlfn.TEXTJOIN("", TRUE, AD14:AH14), _xlfn.TEXTJOIN("", TRUE, AD14:AJ14))</f>
        <v/>
      </c>
      <c r="F14" s="42">
        <f>IF(LEFT(G14,4)="FY26","&lt;b&gt;","&lt;i&gt;")</f>
        <v/>
      </c>
      <c r="G14" s="42" t="inlineStr">
        <is>
          <t>FY27 Maintenance</t>
        </is>
      </c>
      <c r="H14" s="42">
        <f>IF(LEFT(G14,4)="FY26","&lt;/b&gt;","&lt;/i&gt;")</f>
        <v/>
      </c>
      <c r="I14" s="43" t="inlineStr">
        <is>
          <t>&lt;i&gt;</t>
        </is>
      </c>
      <c r="J14" s="44" t="inlineStr">
        <is>
          <t>Natural Resources</t>
        </is>
      </c>
      <c r="K14" s="44" t="inlineStr">
        <is>
          <t>&lt;/i&gt;</t>
        </is>
      </c>
      <c r="L14" s="4">
        <f>IF(ISBLANK(N14),"","&lt;br&gt;")</f>
        <v/>
      </c>
      <c r="M14" s="42">
        <f>IF(ISBLANK(R14),"&lt;b&gt;","&lt;i&gt;")</f>
        <v/>
      </c>
      <c r="N14" s="42" t="inlineStr">
        <is>
          <t>Land Board</t>
        </is>
      </c>
      <c r="O14" s="42">
        <f>IF(ISBLANK(R14),"&lt;/b&gt;","&lt;/i&gt;")</f>
        <v/>
      </c>
      <c r="P14" s="4">
        <f>IF(ISBLANK(R14),"","&lt;br&gt;")</f>
        <v/>
      </c>
      <c r="Q14" s="42">
        <f>IF(ISBLANK(R14),"","&lt;b&gt;")</f>
        <v/>
      </c>
      <c r="R14" s="42" t="inlineStr">
        <is>
          <t>Endowment Fund Investment Board</t>
        </is>
      </c>
      <c r="S14" s="42">
        <f>IF(ISBLANK(R14),"","&lt;/i&gt;")</f>
        <v/>
      </c>
      <c r="T14" s="43">
        <f>IF(ISBLANK(X14),"",IF(OR(AB14="PASSED",ISBLANK(N14)),"&lt;b&gt;","&lt;i&gt;"))</f>
        <v/>
      </c>
      <c r="U14" s="3">
        <f>IF(ISBLANK(V14),"","&lt;a href='")</f>
        <v/>
      </c>
      <c r="V14" s="39" t="inlineStr">
        <is>
          <t>https://legislature.idaho.gov/sessioninfo/2026/legislation/S1363/</t>
        </is>
      </c>
      <c r="W14" s="17">
        <f>IF(ISBLANK(V14),"","'&gt;")</f>
        <v/>
      </c>
      <c r="X14" s="12" t="inlineStr">
        <is>
          <t>Senate Bill 1363</t>
        </is>
      </c>
      <c r="Y14" s="17">
        <f>IF(ISBLANK(X14),"","&lt;/a&gt;")</f>
        <v/>
      </c>
      <c r="Z14" s="42">
        <f>IF(ISBLANK(X14),"",IF(OR(AB14="PASSED",ISBLANK(N14)),"&lt;/b&gt;","&lt;/i&gt;"))</f>
        <v/>
      </c>
      <c r="AA14" s="43">
        <f>IF(AB14="PASSED","&lt;b&gt;","")</f>
        <v/>
      </c>
      <c r="AB14" s="45" t="inlineStr">
        <is>
          <t>ADVANCED</t>
        </is>
      </c>
      <c r="AC14" s="43">
        <f>IF(AB14="PASSED","&lt;/b&gt;","")</f>
        <v/>
      </c>
      <c r="AD14" s="43">
        <f>IF(ISBLANK(AE14),"","&lt;b&gt;")</f>
        <v/>
      </c>
      <c r="AE14" s="51" t="inlineStr">
        <is>
          <t>03/10</t>
        </is>
      </c>
      <c r="AF14" s="42">
        <f>IF(ISBLANK(AE14),"",": ")</f>
        <v/>
      </c>
      <c r="AG14" s="42" t="inlineStr">
        <is>
          <t>Senate Vote 28-7</t>
        </is>
      </c>
      <c r="AH14" s="42">
        <f>IF(ISBLANK(AE14),"","&lt;/b&gt;")</f>
        <v/>
      </c>
      <c r="AI14" s="42" t="inlineStr">
        <is>
          <t>02/13: FY27 reduction (-5%)</t>
        </is>
      </c>
      <c r="AJ14" s="42">
        <f>IF(ISBLANK(AI14),"","&lt;br&gt;"&amp;AI14)</f>
        <v/>
      </c>
      <c r="AK14" s="4" t="inlineStr">
        <is>
          <t>&lt;br&gt;</t>
        </is>
      </c>
      <c r="AL14" s="42" t="inlineStr">
        <is>
          <t>&lt;b&gt;&lt;i&gt;</t>
        </is>
      </c>
      <c r="AM14" s="42" t="inlineStr">
        <is>
          <t>Governor's 3% + JFAC's 2%</t>
        </is>
      </c>
      <c r="AN14" s="42">
        <f>IF(ISBLANK(AM14),"","&lt;/i&gt;")</f>
        <v/>
      </c>
      <c r="AO14" s="35">
        <f>IF(ISBLANK(AQ14),"","&lt;/b&gt;&lt;br&gt;&lt;br&gt;")</f>
        <v/>
      </c>
      <c r="AP14" s="42">
        <f>IF(ISBLANK(AQ14),"","&lt;b&gt;")</f>
        <v/>
      </c>
      <c r="AQ14" s="47" t="inlineStr">
        <is>
          <t xml:space="preserve">Agency Reduction Plan:&lt;br&gt;Additional </t>
        </is>
      </c>
      <c r="AR14" s="42" t="n">
        <v>2</v>
      </c>
      <c r="AS14" s="4">
        <f>IF(ISBLANK(AR14),""," %")</f>
        <v/>
      </c>
      <c r="AT14" s="4">
        <f t="array" ref="AT14">_xlfn.IFS(NOT(ISBLANK(AU14))," (pgs. ",NOT(ISBLANK(AS14))," (pg. ", ISBLANK(AS14), "")</f>
        <v/>
      </c>
      <c r="AU14" s="52" t="inlineStr">
        <is>
          <t>NA</t>
        </is>
      </c>
      <c r="AV14" s="4">
        <f>IF(ISBLANK(AW14),"",", ")</f>
        <v/>
      </c>
      <c r="AW14" s="42" t="n"/>
      <c r="AX14" s="4">
        <f>IF(ISBLANK(AY14),"",",&lt;br&gt;")</f>
        <v/>
      </c>
      <c r="AY14" s="42" t="n"/>
      <c r="AZ14" s="49">
        <f>IF(ISBLANK(AU14),"",")&lt;/b&gt;")</f>
        <v/>
      </c>
      <c r="BA14" s="4">
        <f>IF(ISBLANK(BC14),"","&lt;br&gt;")</f>
        <v/>
      </c>
      <c r="BB14" s="42">
        <f t="array" ref="BB14">IF(ISBLANK(BC14),"",_xlfn.LET(
_xlpm.words,_xlfn.TEXTSPLIT(TRIM(BC14),"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4" s="50" t="n"/>
    </row>
    <row r="15">
      <c r="A15" s="20">
        <f>_xlfn.TEXTJOIN("", TRUE, F15:H15)</f>
        <v/>
      </c>
      <c r="B15" s="21">
        <f>_xlfn.TEXTJOIN("", TRUE, I15:S15)</f>
        <v/>
      </c>
      <c r="C15" s="21">
        <f>IF(ISBLANK(X15),"", _xlfn.TEXTJOIN("",TRUE,T15:Z15))</f>
        <v/>
      </c>
      <c r="D15" s="21">
        <f>IF(ISBLANK(AB15), "", _xlfn.TEXTJOIN("", TRUE, AA15:AC15))</f>
        <v/>
      </c>
      <c r="E15" s="22">
        <f>IF(AU15="NA", _xlfn.TEXTJOIN("", TRUE, AD15:AH15), _xlfn.TEXTJOIN("", TRUE, AD15:AJ15))</f>
        <v/>
      </c>
      <c r="F15" s="42">
        <f>IF(LEFT(G15,4)="FY26","&lt;b&gt;","&lt;i&gt;")</f>
        <v/>
      </c>
      <c r="G15" s="42" t="inlineStr">
        <is>
          <t>FY27 Maintenance</t>
        </is>
      </c>
      <c r="H15" s="42">
        <f>IF(LEFT(G15,4)="FY26","&lt;/b&gt;","&lt;/i&gt;")</f>
        <v/>
      </c>
      <c r="I15" s="43" t="inlineStr">
        <is>
          <t>&lt;i&gt;</t>
        </is>
      </c>
      <c r="J15" s="44" t="inlineStr">
        <is>
          <t>Public Safety</t>
        </is>
      </c>
      <c r="K15" s="44" t="inlineStr">
        <is>
          <t>&lt;/i&gt;</t>
        </is>
      </c>
      <c r="L15" s="4">
        <f>IF(ISBLANK(N15),"","&lt;br&gt;")</f>
        <v/>
      </c>
      <c r="M15" s="42">
        <f>IF(ISBLANK(R15),"&lt;b&gt;","&lt;i&gt;")</f>
        <v/>
      </c>
      <c r="N15" s="42" t="inlineStr">
        <is>
          <t>Dept. of Correction</t>
        </is>
      </c>
      <c r="O15" s="42">
        <f>IF(ISBLANK(R15),"&lt;/b&gt;","&lt;/i&gt;")</f>
        <v/>
      </c>
      <c r="P15" s="4">
        <f>IF(ISBLANK(R15),"","&lt;br&gt;")</f>
        <v/>
      </c>
      <c r="Q15" s="42">
        <f>IF(ISBLANK(R15),"","&lt;b&gt;")</f>
        <v/>
      </c>
      <c r="R15" s="42" t="inlineStr">
        <is>
          <t>Community Corrections</t>
        </is>
      </c>
      <c r="S15" s="42">
        <f>IF(ISBLANK(R15),"","&lt;/i&gt;")</f>
        <v/>
      </c>
      <c r="T15" s="43">
        <f>IF(ISBLANK(X15),"",IF(OR(AB15="PASSED",ISBLANK(N15)),"&lt;b&gt;","&lt;i&gt;"))</f>
        <v/>
      </c>
      <c r="U15" s="3">
        <f>IF(ISBLANK(V15),"","&lt;a href='")</f>
        <v/>
      </c>
      <c r="V15" s="39" t="inlineStr">
        <is>
          <t>https://legislature.idaho.gov/sessioninfo/2026/legislation/S1361/</t>
        </is>
      </c>
      <c r="W15" s="17">
        <f>IF(ISBLANK(V15),"","'&gt;")</f>
        <v/>
      </c>
      <c r="X15" s="12" t="inlineStr">
        <is>
          <t>Senate Bill 1361</t>
        </is>
      </c>
      <c r="Y15" s="17">
        <f>IF(ISBLANK(X15),"","&lt;/a&gt;")</f>
        <v/>
      </c>
      <c r="Z15" s="42">
        <f>IF(ISBLANK(X15),"",IF(OR(AB15="PASSED",ISBLANK(N15)),"&lt;/b&gt;","&lt;/i&gt;"))</f>
        <v/>
      </c>
      <c r="AA15" s="43">
        <f>IF(AB15="PASSED","&lt;b&gt;","")</f>
        <v/>
      </c>
      <c r="AB15" s="45" t="inlineStr">
        <is>
          <t>ADVANCED</t>
        </is>
      </c>
      <c r="AC15" s="43">
        <f>IF(AB15="PASSED","&lt;/b&gt;","")</f>
        <v/>
      </c>
      <c r="AD15" s="43">
        <f>IF(ISBLANK(AE15),"","&lt;b&gt;")</f>
        <v/>
      </c>
      <c r="AE15" s="51" t="inlineStr">
        <is>
          <t>03/10</t>
        </is>
      </c>
      <c r="AF15" s="42">
        <f>IF(ISBLANK(AE15),"",": ")</f>
        <v/>
      </c>
      <c r="AG15" s="42" t="inlineStr">
        <is>
          <t>Senate Vote 24-11</t>
        </is>
      </c>
      <c r="AH15" s="42">
        <f>IF(ISBLANK(AE15),"","&lt;/b&gt;")</f>
        <v/>
      </c>
      <c r="AI15" s="42" t="inlineStr">
        <is>
          <t>02/13: FY27 reduction (-5%)</t>
        </is>
      </c>
      <c r="AJ15" s="42">
        <f>IF(ISBLANK(AI15),"","&lt;br&gt;"&amp;AI15)</f>
        <v/>
      </c>
      <c r="AK15" s="4" t="inlineStr">
        <is>
          <t>&lt;br&gt;</t>
        </is>
      </c>
      <c r="AL15" s="42" t="inlineStr">
        <is>
          <t>&lt;b&gt;&lt;i&gt;</t>
        </is>
      </c>
      <c r="AM15" s="42" t="inlineStr">
        <is>
          <t>Governor's 3% + JFAC's 2%&lt;br&gt;Dept. of Correction excluded &lt;br&gt;from additional reduction</t>
        </is>
      </c>
      <c r="AN15" s="42">
        <f>IF(ISBLANK(AM15),"","&lt;/i&gt;")</f>
        <v/>
      </c>
      <c r="AO15" s="35">
        <f>IF(ISBLANK(AQ15),"","&lt;/b&gt;&lt;br&gt;&lt;br&gt;")</f>
        <v/>
      </c>
      <c r="AP15" s="42">
        <f>IF(ISBLANK(AQ15),"","&lt;b&gt;")</f>
        <v/>
      </c>
      <c r="AQ15" s="47" t="inlineStr">
        <is>
          <t xml:space="preserve">Agency Reduction Plan:&lt;br&gt;Additional </t>
        </is>
      </c>
      <c r="AR15" s="42" t="n">
        <v>2</v>
      </c>
      <c r="AS15" s="4">
        <f>IF(ISBLANK(AR15),""," %")</f>
        <v/>
      </c>
      <c r="AT15" s="4">
        <f t="array" ref="AT15">_xlfn.IFS(NOT(ISBLANK(AU15))," (pgs. ",NOT(ISBLANK(AS15))," (pg. ", ISBLANK(AS15), "")</f>
        <v/>
      </c>
      <c r="AU15" s="52" t="n">
        <v>106</v>
      </c>
      <c r="AV15" s="4">
        <f>IF(ISBLANK(AW15),"",", ")</f>
        <v/>
      </c>
      <c r="AW15" s="42" t="n"/>
      <c r="AX15" s="4">
        <f>IF(ISBLANK(AY15),"",",&lt;br&gt;")</f>
        <v/>
      </c>
      <c r="AY15" s="42" t="n"/>
      <c r="AZ15" s="49">
        <f>IF(ISBLANK(AU15),"",")&lt;/b&gt;")</f>
        <v/>
      </c>
      <c r="BA15" s="4">
        <f>IF(ISBLANK(BC15),"","&lt;br&gt;")</f>
        <v/>
      </c>
      <c r="BB15" s="42">
        <f t="array" ref="BB15">IF(ISBLANK(BC15),"",_xlfn.LET(
_xlpm.words,_xlfn.TEXTSPLIT(TRIM(BC15),"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5" s="50" t="inlineStr">
        <is>
          <t>The implementation of six furlough days within the Idaho Department of Correction (IDOC) administration will have significant ripple effects across multiple operational areas. Reduced staffing time will impact employee wellness by increasing stress and workload during non-furlough periods, while also creating delays in processing critical tasks such as paying invoices, addressing maintenance concerns, ordering and distributing supplies such as cleaning products to prisons, completing inmate meal planning and ordering, and fulfilling public records requests. These disruptions not only hinder efficiency but could put IDOC out of compliance with public records laws and at-risk for 8th Amendment claims.</t>
        </is>
      </c>
    </row>
    <row r="16">
      <c r="A16" s="20">
        <f>_xlfn.TEXTJOIN("", TRUE, F16:H16)</f>
        <v/>
      </c>
      <c r="B16" s="21">
        <f>_xlfn.TEXTJOIN("", TRUE, I16:S16)</f>
        <v/>
      </c>
      <c r="C16" s="21">
        <f>IF(ISBLANK(X16),"", _xlfn.TEXTJOIN("",TRUE,T16:Z16))</f>
        <v/>
      </c>
      <c r="D16" s="21">
        <f>IF(ISBLANK(AB16), "", _xlfn.TEXTJOIN("", TRUE, AA16:AC16))</f>
        <v/>
      </c>
      <c r="E16" s="22">
        <f>IF(AU16="NA", _xlfn.TEXTJOIN("", TRUE, AD16:AH16), _xlfn.TEXTJOIN("", TRUE, AD16:AJ16))</f>
        <v/>
      </c>
      <c r="F16" s="42">
        <f>IF(LEFT(G16,4)="FY26","&lt;b&gt;","&lt;i&gt;")</f>
        <v/>
      </c>
      <c r="G16" s="42" t="inlineStr">
        <is>
          <t>FY27 Maintenance</t>
        </is>
      </c>
      <c r="H16" s="42">
        <f>IF(LEFT(G16,4)="FY26","&lt;/b&gt;","&lt;/i&gt;")</f>
        <v/>
      </c>
      <c r="I16" s="43" t="inlineStr">
        <is>
          <t>&lt;i&gt;</t>
        </is>
      </c>
      <c r="J16" s="44" t="inlineStr">
        <is>
          <t>Public Safety</t>
        </is>
      </c>
      <c r="K16" s="44" t="inlineStr">
        <is>
          <t>&lt;/i&gt;</t>
        </is>
      </c>
      <c r="L16" s="4">
        <f>IF(ISBLANK(N16),"","&lt;br&gt;")</f>
        <v/>
      </c>
      <c r="M16" s="42">
        <f>IF(ISBLANK(R16),"&lt;b&gt;","&lt;i&gt;")</f>
        <v/>
      </c>
      <c r="N16" s="42" t="inlineStr">
        <is>
          <t>Dept. of Correction</t>
        </is>
      </c>
      <c r="O16" s="42">
        <f>IF(ISBLANK(R16),"&lt;/b&gt;","&lt;/i&gt;")</f>
        <v/>
      </c>
      <c r="P16" s="4">
        <f>IF(ISBLANK(R16),"","&lt;br&gt;")</f>
        <v/>
      </c>
      <c r="Q16" s="42">
        <f>IF(ISBLANK(R16),"","&lt;b&gt;")</f>
        <v/>
      </c>
      <c r="R16" s="42" t="inlineStr">
        <is>
          <t>Community-Based SUDS Treatment</t>
        </is>
      </c>
      <c r="S16" s="42">
        <f>IF(ISBLANK(R16),"","&lt;/i&gt;")</f>
        <v/>
      </c>
      <c r="T16" s="43">
        <f>IF(ISBLANK(X16),"",IF(OR(AB16="PASSED",ISBLANK(N16)),"&lt;b&gt;","&lt;i&gt;"))</f>
        <v/>
      </c>
      <c r="U16" s="3">
        <f>IF(ISBLANK(V16),"","&lt;a href='")</f>
        <v/>
      </c>
      <c r="V16" s="39" t="inlineStr">
        <is>
          <t>https://legislature.idaho.gov/sessioninfo/2026/legislation/S1361/</t>
        </is>
      </c>
      <c r="W16" s="17">
        <f>IF(ISBLANK(V16),"","'&gt;")</f>
        <v/>
      </c>
      <c r="X16" s="12" t="inlineStr">
        <is>
          <t>Senate Bill 1361</t>
        </is>
      </c>
      <c r="Y16" s="17">
        <f>IF(ISBLANK(X16),"","&lt;/a&gt;")</f>
        <v/>
      </c>
      <c r="Z16" s="42">
        <f>IF(ISBLANK(X16),"",IF(OR(AB16="PASSED",ISBLANK(N16)),"&lt;/b&gt;","&lt;/i&gt;"))</f>
        <v/>
      </c>
      <c r="AA16" s="43">
        <f>IF(AB16="PASSED","&lt;b&gt;","")</f>
        <v/>
      </c>
      <c r="AB16" s="45" t="inlineStr">
        <is>
          <t>ADVANCED</t>
        </is>
      </c>
      <c r="AC16" s="43">
        <f>IF(AB16="PASSED","&lt;/b&gt;","")</f>
        <v/>
      </c>
      <c r="AD16" s="43">
        <f>IF(ISBLANK(AE16),"","&lt;b&gt;")</f>
        <v/>
      </c>
      <c r="AE16" s="46" t="inlineStr">
        <is>
          <t>03/10</t>
        </is>
      </c>
      <c r="AF16" s="42">
        <f>IF(ISBLANK(AE16),"",": ")</f>
        <v/>
      </c>
      <c r="AG16" s="42" t="inlineStr">
        <is>
          <t>Senate Vote 24-11</t>
        </is>
      </c>
      <c r="AH16" s="42">
        <f>IF(ISBLANK(AE16),"","&lt;/b&gt;")</f>
        <v/>
      </c>
      <c r="AI16" s="42" t="inlineStr">
        <is>
          <t>02/13: FY27 reduction (-5%)</t>
        </is>
      </c>
      <c r="AJ16" s="42">
        <f>IF(ISBLANK(AI16),"","&lt;br&gt;"&amp;AI16)</f>
        <v/>
      </c>
      <c r="AK16" s="4" t="inlineStr">
        <is>
          <t>&lt;br&gt;</t>
        </is>
      </c>
      <c r="AL16" s="42" t="inlineStr">
        <is>
          <t>&lt;b&gt;&lt;i&gt;</t>
        </is>
      </c>
      <c r="AM16" s="42" t="inlineStr">
        <is>
          <t>Governor's 3% + JFAC's 2%&lt;br&gt;Dept. of Correction excluded &lt;br&gt;from additional reduction</t>
        </is>
      </c>
      <c r="AN16" s="42">
        <f>IF(ISBLANK(AM16),"","&lt;/i&gt;")</f>
        <v/>
      </c>
      <c r="AO16" s="35">
        <f>IF(ISBLANK(AQ16),"","&lt;/b&gt;&lt;br&gt;&lt;br&gt;")</f>
        <v/>
      </c>
      <c r="AP16" s="42">
        <f>IF(ISBLANK(AQ16),"","&lt;b&gt;")</f>
        <v/>
      </c>
      <c r="AQ16" s="47" t="inlineStr">
        <is>
          <t xml:space="preserve">Agency Reduction Plan:&lt;br&gt;Additional </t>
        </is>
      </c>
      <c r="AR16" s="42" t="n">
        <v>2</v>
      </c>
      <c r="AS16" s="4">
        <f>IF(ISBLANK(AR16),""," %")</f>
        <v/>
      </c>
      <c r="AT16" s="4">
        <f t="array" ref="AT16">_xlfn.IFS(NOT(ISBLANK(AU16))," (pgs. ",NOT(ISBLANK(AS16))," (pg. ", ISBLANK(AS16), "")</f>
        <v/>
      </c>
      <c r="AU16" s="52" t="n">
        <v>106</v>
      </c>
      <c r="AV16" s="4">
        <f>IF(ISBLANK(AW16),"",", ")</f>
        <v/>
      </c>
      <c r="AW16" s="42" t="n"/>
      <c r="AX16" s="4">
        <f>IF(ISBLANK(AY16),"",",&lt;br&gt;")</f>
        <v/>
      </c>
      <c r="AY16" s="42" t="n"/>
      <c r="AZ16" s="49">
        <f>IF(ISBLANK(AU16),"",")&lt;/b&gt;")</f>
        <v/>
      </c>
      <c r="BA16" s="4">
        <f>IF(ISBLANK(BC16),"","&lt;br&gt;")</f>
        <v/>
      </c>
      <c r="BB16" s="42">
        <f t="array" ref="BB16">IF(ISBLANK(BC16),"",_xlfn.LET(
_xlpm.words,_xlfn.TEXTSPLIT(TRIM(BC16),"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6" s="50" t="inlineStr">
        <is>
          <t>The implementation of six furlough days within the Idaho Department of Correction (IDOC) administration will have significant ripple effects across multiple operational areas. Reduced staffing time will impact employee wellness by increasing stress and workload during non-furlough periods, while also creating delays in processing critical tasks such as paying invoices, addressing maintenance concerns, ordering and distributing supplies such as cleaning products to prisons, completing inmate meal planning and ordering, and fulfilling public records requests. These disruptions not only hinder efficiency but could put IDOC out of compliance with public records laws and at-risk for 8th Amendment claims.</t>
        </is>
      </c>
    </row>
    <row r="17">
      <c r="A17" s="20">
        <f>_xlfn.TEXTJOIN("", TRUE, F17:H17)</f>
        <v/>
      </c>
      <c r="B17" s="21">
        <f>_xlfn.TEXTJOIN("", TRUE, I17:S17)</f>
        <v/>
      </c>
      <c r="C17" s="21">
        <f>IF(ISBLANK(X17),"", _xlfn.TEXTJOIN("",TRUE,T17:Z17))</f>
        <v/>
      </c>
      <c r="D17" s="21">
        <f>IF(ISBLANK(AB17), "", _xlfn.TEXTJOIN("", TRUE, AA17:AC17))</f>
        <v/>
      </c>
      <c r="E17" s="22">
        <f>IF(AU17="NA", _xlfn.TEXTJOIN("", TRUE, AD17:AH17), _xlfn.TEXTJOIN("", TRUE, AD17:AJ17))</f>
        <v/>
      </c>
      <c r="F17" s="42">
        <f>IF(LEFT(G17,4)="FY26","&lt;b&gt;","&lt;i&gt;")</f>
        <v/>
      </c>
      <c r="G17" s="42" t="inlineStr">
        <is>
          <t>FY27 Maintenance</t>
        </is>
      </c>
      <c r="H17" s="42">
        <f>IF(LEFT(G17,4)="FY26","&lt;/b&gt;","&lt;/i&gt;")</f>
        <v/>
      </c>
      <c r="I17" s="43" t="inlineStr">
        <is>
          <t>&lt;i&gt;</t>
        </is>
      </c>
      <c r="J17" s="44" t="inlineStr">
        <is>
          <t>Public Safety</t>
        </is>
      </c>
      <c r="K17" s="44" t="inlineStr">
        <is>
          <t>&lt;/i&gt;</t>
        </is>
      </c>
      <c r="L17" s="4">
        <f>IF(ISBLANK(N17),"","&lt;br&gt;")</f>
        <v/>
      </c>
      <c r="M17" s="42">
        <f>IF(ISBLANK(R17),"&lt;b&gt;","&lt;i&gt;")</f>
        <v/>
      </c>
      <c r="N17" s="42" t="inlineStr">
        <is>
          <t>Dept. of Correction</t>
        </is>
      </c>
      <c r="O17" s="42">
        <f>IF(ISBLANK(R17),"&lt;/b&gt;","&lt;/i&gt;")</f>
        <v/>
      </c>
      <c r="P17" s="4">
        <f>IF(ISBLANK(R17),"","&lt;br&gt;")</f>
        <v/>
      </c>
      <c r="Q17" s="42">
        <f>IF(ISBLANK(R17),"","&lt;b&gt;")</f>
        <v/>
      </c>
      <c r="R17" s="42" t="inlineStr">
        <is>
          <t>County &amp; Out-of-State Placement</t>
        </is>
      </c>
      <c r="S17" s="42">
        <f>IF(ISBLANK(R17),"","&lt;/i&gt;")</f>
        <v/>
      </c>
      <c r="T17" s="43">
        <f>IF(ISBLANK(X17),"",IF(OR(AB17="PASSED",ISBLANK(N17)),"&lt;b&gt;","&lt;i&gt;"))</f>
        <v/>
      </c>
      <c r="U17" s="3">
        <f>IF(ISBLANK(V17),"","&lt;a href='")</f>
        <v/>
      </c>
      <c r="V17" s="39" t="inlineStr">
        <is>
          <t>https://legislature.idaho.gov/sessioninfo/2026/legislation/S1361/</t>
        </is>
      </c>
      <c r="W17" s="17">
        <f>IF(ISBLANK(V17),"","'&gt;")</f>
        <v/>
      </c>
      <c r="X17" s="12" t="inlineStr">
        <is>
          <t>Senate Bill 1361</t>
        </is>
      </c>
      <c r="Y17" s="17">
        <f>IF(ISBLANK(X17),"","&lt;/a&gt;")</f>
        <v/>
      </c>
      <c r="Z17" s="42">
        <f>IF(ISBLANK(X17),"",IF(OR(AB17="PASSED",ISBLANK(N17)),"&lt;/b&gt;","&lt;/i&gt;"))</f>
        <v/>
      </c>
      <c r="AA17" s="43">
        <f>IF(AB17="PASSED","&lt;b&gt;","")</f>
        <v/>
      </c>
      <c r="AB17" s="45" t="inlineStr">
        <is>
          <t>ADVANCED</t>
        </is>
      </c>
      <c r="AC17" s="43">
        <f>IF(AB17="PASSED","&lt;/b&gt;","")</f>
        <v/>
      </c>
      <c r="AD17" s="43">
        <f>IF(ISBLANK(AE17),"","&lt;b&gt;")</f>
        <v/>
      </c>
      <c r="AE17" s="51" t="inlineStr">
        <is>
          <t>03/10</t>
        </is>
      </c>
      <c r="AF17" s="42">
        <f>IF(ISBLANK(AE17),"",": ")</f>
        <v/>
      </c>
      <c r="AG17" s="42" t="inlineStr">
        <is>
          <t>Senate Vote 24-11</t>
        </is>
      </c>
      <c r="AH17" s="42">
        <f>IF(ISBLANK(AE17),"","&lt;/b&gt;")</f>
        <v/>
      </c>
      <c r="AI17" s="42" t="inlineStr">
        <is>
          <t>02/13: FY27 reduction (-5%)</t>
        </is>
      </c>
      <c r="AJ17" s="42">
        <f>IF(ISBLANK(AI17),"","&lt;br&gt;"&amp;AI17)</f>
        <v/>
      </c>
      <c r="AK17" s="4" t="inlineStr">
        <is>
          <t>&lt;br&gt;</t>
        </is>
      </c>
      <c r="AL17" s="42" t="inlineStr">
        <is>
          <t>&lt;b&gt;&lt;i&gt;</t>
        </is>
      </c>
      <c r="AM17" s="42" t="inlineStr">
        <is>
          <t>Governor's 3% + JFAC's 2%&lt;br&gt;Dept. of Correction excluded &lt;br&gt;from additional reduction</t>
        </is>
      </c>
      <c r="AN17" s="42">
        <f>IF(ISBLANK(AM17),"","&lt;/i&gt;")</f>
        <v/>
      </c>
      <c r="AO17" s="35">
        <f>IF(ISBLANK(AQ17),"","&lt;/b&gt;&lt;br&gt;&lt;br&gt;")</f>
        <v/>
      </c>
      <c r="AP17" s="42">
        <f>IF(ISBLANK(AQ17),"","&lt;b&gt;")</f>
        <v/>
      </c>
      <c r="AQ17" s="47" t="inlineStr">
        <is>
          <t xml:space="preserve">Agency Reduction Plan:&lt;br&gt;Additional </t>
        </is>
      </c>
      <c r="AR17" s="42" t="n">
        <v>2</v>
      </c>
      <c r="AS17" s="4">
        <f>IF(ISBLANK(AR17),""," %")</f>
        <v/>
      </c>
      <c r="AT17" s="4">
        <f t="array" ref="AT17">_xlfn.IFS(NOT(ISBLANK(AU17))," (pgs. ",NOT(ISBLANK(AS17))," (pg. ", ISBLANK(AS17), "")</f>
        <v/>
      </c>
      <c r="AU17" s="52" t="n">
        <v>106</v>
      </c>
      <c r="AV17" s="4">
        <f>IF(ISBLANK(AW17),"",", ")</f>
        <v/>
      </c>
      <c r="AW17" s="42" t="n"/>
      <c r="AX17" s="4">
        <f>IF(ISBLANK(AY17),"",",&lt;br&gt;")</f>
        <v/>
      </c>
      <c r="AY17" s="42" t="n"/>
      <c r="AZ17" s="49">
        <f>IF(ISBLANK(AU17),"",")&lt;/b&gt;")</f>
        <v/>
      </c>
      <c r="BA17" s="4">
        <f>IF(ISBLANK(BC17),"","&lt;br&gt;")</f>
        <v/>
      </c>
      <c r="BB17" s="42">
        <f t="array" ref="BB17">IF(ISBLANK(BC17),"",_xlfn.LET(
_xlpm.words,_xlfn.TEXTSPLIT(TRIM(BC17),"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7" s="50" t="inlineStr">
        <is>
          <t>The implementation of six furlough days within the Idaho Department of Correction (IDOC) administration will have significant ripple effects across multiple operational areas. Reduced staffing time will impact employee wellness by increasing stress and workload during non-furlough periods, while also creating delays in processing critical tasks such as paying invoices, addressing maintenance concerns, ordering and distributing supplies such as cleaning products to prisons, completing inmate meal planning and ordering, and fulfilling public records requests. These disruptions not only hinder efficiency but could put IDOC out of compliance with public records laws and at-risk for 8th Amendment claims.</t>
        </is>
      </c>
    </row>
    <row r="18">
      <c r="A18" s="20">
        <f>_xlfn.TEXTJOIN("", TRUE, F18:H18)</f>
        <v/>
      </c>
      <c r="B18" s="21">
        <f>_xlfn.TEXTJOIN("", TRUE, I18:S18)</f>
        <v/>
      </c>
      <c r="C18" s="21">
        <f>IF(ISBLANK(X18),"", _xlfn.TEXTJOIN("",TRUE,T18:Z18))</f>
        <v/>
      </c>
      <c r="D18" s="21">
        <f>IF(ISBLANK(AB18), "", _xlfn.TEXTJOIN("", TRUE, AA18:AC18))</f>
        <v/>
      </c>
      <c r="E18" s="22">
        <f>IF(AU18="NA", _xlfn.TEXTJOIN("", TRUE, AD18:AH18), _xlfn.TEXTJOIN("", TRUE, AD18:AJ18))</f>
        <v/>
      </c>
      <c r="F18" s="42">
        <f>IF(LEFT(G18,4)="FY26","&lt;b&gt;","&lt;i&gt;")</f>
        <v/>
      </c>
      <c r="G18" s="42" t="inlineStr">
        <is>
          <t>FY27 Maintenance</t>
        </is>
      </c>
      <c r="H18" s="42">
        <f>IF(LEFT(G18,4)="FY26","&lt;/b&gt;","&lt;/i&gt;")</f>
        <v/>
      </c>
      <c r="I18" s="43" t="inlineStr">
        <is>
          <t>&lt;i&gt;</t>
        </is>
      </c>
      <c r="J18" s="44" t="inlineStr">
        <is>
          <t>Public Safety</t>
        </is>
      </c>
      <c r="K18" s="44" t="inlineStr">
        <is>
          <t>&lt;/i&gt;</t>
        </is>
      </c>
      <c r="L18" s="4">
        <f>IF(ISBLANK(N18),"","&lt;br&gt;")</f>
        <v/>
      </c>
      <c r="M18" s="42">
        <f>IF(ISBLANK(R18),"&lt;b&gt;","&lt;i&gt;")</f>
        <v/>
      </c>
      <c r="N18" s="42" t="inlineStr">
        <is>
          <t>Dept. of Correction</t>
        </is>
      </c>
      <c r="O18" s="42">
        <f>IF(ISBLANK(R18),"&lt;/b&gt;","&lt;/i&gt;")</f>
        <v/>
      </c>
      <c r="P18" s="4">
        <f>IF(ISBLANK(R18),"","&lt;br&gt;")</f>
        <v/>
      </c>
      <c r="Q18" s="42">
        <f>IF(ISBLANK(R18),"","&lt;b&gt;")</f>
        <v/>
      </c>
      <c r="R18" s="42" t="inlineStr">
        <is>
          <t>Management Services</t>
        </is>
      </c>
      <c r="S18" s="42">
        <f>IF(ISBLANK(R18),"","&lt;/i&gt;")</f>
        <v/>
      </c>
      <c r="T18" s="43">
        <f>IF(ISBLANK(X18),"",IF(OR(AB18="PASSED",ISBLANK(N18)),"&lt;b&gt;","&lt;i&gt;"))</f>
        <v/>
      </c>
      <c r="U18" s="3">
        <f>IF(ISBLANK(V18),"","&lt;a href='")</f>
        <v/>
      </c>
      <c r="V18" s="39" t="inlineStr">
        <is>
          <t>https://legislature.idaho.gov/sessioninfo/2026/legislation/S1361/</t>
        </is>
      </c>
      <c r="W18" s="17">
        <f>IF(ISBLANK(V18),"","'&gt;")</f>
        <v/>
      </c>
      <c r="X18" s="12" t="inlineStr">
        <is>
          <t>Senate Bill 1361</t>
        </is>
      </c>
      <c r="Y18" s="17">
        <f>IF(ISBLANK(X18),"","&lt;/a&gt;")</f>
        <v/>
      </c>
      <c r="Z18" s="42">
        <f>IF(ISBLANK(X18),"",IF(OR(AB18="PASSED",ISBLANK(N18)),"&lt;/b&gt;","&lt;/i&gt;"))</f>
        <v/>
      </c>
      <c r="AA18" s="43">
        <f>IF(AB18="PASSED","&lt;b&gt;","")</f>
        <v/>
      </c>
      <c r="AB18" s="45" t="inlineStr">
        <is>
          <t>ADVANCED</t>
        </is>
      </c>
      <c r="AC18" s="43">
        <f>IF(AB18="PASSED","&lt;/b&gt;","")</f>
        <v/>
      </c>
      <c r="AD18" s="43">
        <f>IF(ISBLANK(AE18),"","&lt;b&gt;")</f>
        <v/>
      </c>
      <c r="AE18" s="46" t="inlineStr">
        <is>
          <t>03/10</t>
        </is>
      </c>
      <c r="AF18" s="42">
        <f>IF(ISBLANK(AE18),"",": ")</f>
        <v/>
      </c>
      <c r="AG18" s="42" t="inlineStr">
        <is>
          <t>Senate Vote 24-11</t>
        </is>
      </c>
      <c r="AH18" s="42">
        <f>IF(ISBLANK(AE18),"","&lt;/b&gt;")</f>
        <v/>
      </c>
      <c r="AI18" s="42" t="inlineStr">
        <is>
          <t>02/13: FY27 reduction (-5%)</t>
        </is>
      </c>
      <c r="AJ18" s="42">
        <f>IF(ISBLANK(AI18),"","&lt;br&gt;"&amp;AI18)</f>
        <v/>
      </c>
      <c r="AK18" s="4" t="inlineStr">
        <is>
          <t>&lt;br&gt;</t>
        </is>
      </c>
      <c r="AL18" s="42" t="inlineStr">
        <is>
          <t>&lt;b&gt;&lt;i&gt;</t>
        </is>
      </c>
      <c r="AM18" s="42" t="inlineStr">
        <is>
          <t>Governor's 3% + JFAC's 2%&lt;br&gt;Dept. of Correction excluded &lt;br&gt;from additional reduction</t>
        </is>
      </c>
      <c r="AN18" s="42">
        <f>IF(ISBLANK(AM18),"","&lt;/i&gt;")</f>
        <v/>
      </c>
      <c r="AO18" s="35">
        <f>IF(ISBLANK(AQ18),"","&lt;/b&gt;&lt;br&gt;&lt;br&gt;")</f>
        <v/>
      </c>
      <c r="AP18" s="42">
        <f>IF(ISBLANK(AQ18),"","&lt;b&gt;")</f>
        <v/>
      </c>
      <c r="AQ18" s="47" t="inlineStr">
        <is>
          <t xml:space="preserve">Agency Reduction Plan:&lt;br&gt;Additional </t>
        </is>
      </c>
      <c r="AR18" s="42" t="n">
        <v>2</v>
      </c>
      <c r="AS18" s="4">
        <f>IF(ISBLANK(AR18),""," %")</f>
        <v/>
      </c>
      <c r="AT18" s="4">
        <f t="array" ref="AT18">_xlfn.IFS(NOT(ISBLANK(AU18))," (pgs. ",NOT(ISBLANK(AS18))," (pg. ", ISBLANK(AS18), "")</f>
        <v/>
      </c>
      <c r="AU18" s="52" t="n">
        <v>106</v>
      </c>
      <c r="AV18" s="4">
        <f>IF(ISBLANK(AW18),"",", ")</f>
        <v/>
      </c>
      <c r="AW18" s="42" t="n"/>
      <c r="AX18" s="4">
        <f>IF(ISBLANK(AY18),"",",&lt;br&gt;")</f>
        <v/>
      </c>
      <c r="AY18" s="42" t="n"/>
      <c r="AZ18" s="49">
        <f>IF(ISBLANK(AU18),"",")&lt;/b&gt;")</f>
        <v/>
      </c>
      <c r="BA18" s="4">
        <f>IF(ISBLANK(BC18),"","&lt;br&gt;")</f>
        <v/>
      </c>
      <c r="BB18" s="42">
        <f t="array" ref="BB18">IF(ISBLANK(BC18),"",_xlfn.LET(
_xlpm.words,_xlfn.TEXTSPLIT(TRIM(BC18),"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8" s="50" t="inlineStr">
        <is>
          <t>The implementation of six furlough days within the Idaho Department of Correction (IDOC) administration will have significant ripple effects across multiple operational areas. Reduced staffing time will impact employee wellness by increasing stress and workload during non-furlough periods, while also creating delays in processing critical tasks such as paying invoices, addressing maintenance concerns, ordering and distributing supplies such as cleaning products to prisons, completing inmate meal planning and ordering, and fulfilling public records requests. These disruptions not only hinder efficiency but could put IDOC out of compliance with public records laws and at-risk for 8th Amendment claims.</t>
        </is>
      </c>
    </row>
    <row r="19">
      <c r="A19" s="20">
        <f>_xlfn.TEXTJOIN("", TRUE, F19:H19)</f>
        <v/>
      </c>
      <c r="B19" s="21">
        <f>_xlfn.TEXTJOIN("", TRUE, I19:S19)</f>
        <v/>
      </c>
      <c r="C19" s="21">
        <f>IF(ISBLANK(X19),"", _xlfn.TEXTJOIN("",TRUE,T19:Z19))</f>
        <v/>
      </c>
      <c r="D19" s="21">
        <f>IF(ISBLANK(AB19), "", _xlfn.TEXTJOIN("", TRUE, AA19:AC19))</f>
        <v/>
      </c>
      <c r="E19" s="22">
        <f>IF(AU19="NA", _xlfn.TEXTJOIN("", TRUE, AD19:AH19), _xlfn.TEXTJOIN("", TRUE, AD19:AJ19))</f>
        <v/>
      </c>
      <c r="F19" s="42">
        <f>IF(LEFT(G19,4)="FY26","&lt;b&gt;","&lt;i&gt;")</f>
        <v/>
      </c>
      <c r="G19" s="42" t="inlineStr">
        <is>
          <t>FY27 Maintenance</t>
        </is>
      </c>
      <c r="H19" s="42">
        <f>IF(LEFT(G19,4)="FY26","&lt;/b&gt;","&lt;/i&gt;")</f>
        <v/>
      </c>
      <c r="I19" s="43" t="inlineStr">
        <is>
          <t>&lt;i&gt;</t>
        </is>
      </c>
      <c r="J19" s="44" t="inlineStr">
        <is>
          <t>Public Safety</t>
        </is>
      </c>
      <c r="K19" s="44" t="inlineStr">
        <is>
          <t>&lt;/i&gt;</t>
        </is>
      </c>
      <c r="L19" s="4">
        <f>IF(ISBLANK(N19),"","&lt;br&gt;")</f>
        <v/>
      </c>
      <c r="M19" s="42">
        <f>IF(ISBLANK(R19),"&lt;b&gt;","&lt;i&gt;")</f>
        <v/>
      </c>
      <c r="N19" s="42" t="inlineStr">
        <is>
          <t>Dept. of Correction</t>
        </is>
      </c>
      <c r="O19" s="42">
        <f>IF(ISBLANK(R19),"&lt;/b&gt;","&lt;/i&gt;")</f>
        <v/>
      </c>
      <c r="P19" s="4">
        <f>IF(ISBLANK(R19),"","&lt;br&gt;")</f>
        <v/>
      </c>
      <c r="Q19" s="42">
        <f>IF(ISBLANK(R19),"","&lt;b&gt;")</f>
        <v/>
      </c>
      <c r="R19" s="42" t="inlineStr">
        <is>
          <t>Medical Services</t>
        </is>
      </c>
      <c r="S19" s="42">
        <f>IF(ISBLANK(R19),"","&lt;/i&gt;")</f>
        <v/>
      </c>
      <c r="T19" s="43">
        <f>IF(ISBLANK(X19),"",IF(OR(AB19="PASSED",ISBLANK(N19)),"&lt;b&gt;","&lt;i&gt;"))</f>
        <v/>
      </c>
      <c r="U19" s="3">
        <f>IF(ISBLANK(V19),"","&lt;a href='")</f>
        <v/>
      </c>
      <c r="V19" s="39" t="inlineStr">
        <is>
          <t>https://legislature.idaho.gov/sessioninfo/2026/legislation/S1361/</t>
        </is>
      </c>
      <c r="W19" s="17">
        <f>IF(ISBLANK(V19),"","'&gt;")</f>
        <v/>
      </c>
      <c r="X19" s="12" t="inlineStr">
        <is>
          <t>Senate Bill 1361</t>
        </is>
      </c>
      <c r="Y19" s="17">
        <f>IF(ISBLANK(X19),"","&lt;/a&gt;")</f>
        <v/>
      </c>
      <c r="Z19" s="42">
        <f>IF(ISBLANK(X19),"",IF(OR(AB19="PASSED",ISBLANK(N19)),"&lt;/b&gt;","&lt;/i&gt;"))</f>
        <v/>
      </c>
      <c r="AA19" s="43">
        <f>IF(AB19="PASSED","&lt;b&gt;","")</f>
        <v/>
      </c>
      <c r="AB19" s="45" t="inlineStr">
        <is>
          <t>ADVANCED</t>
        </is>
      </c>
      <c r="AC19" s="43">
        <f>IF(AB19="PASSED","&lt;/b&gt;","")</f>
        <v/>
      </c>
      <c r="AD19" s="43">
        <f>IF(ISBLANK(AE19),"","&lt;b&gt;")</f>
        <v/>
      </c>
      <c r="AE19" s="51" t="inlineStr">
        <is>
          <t>03/10</t>
        </is>
      </c>
      <c r="AF19" s="42">
        <f>IF(ISBLANK(AE19),"",": ")</f>
        <v/>
      </c>
      <c r="AG19" s="42" t="inlineStr">
        <is>
          <t>Senate Vote 24-11</t>
        </is>
      </c>
      <c r="AH19" s="42">
        <f>IF(ISBLANK(AE19),"","&lt;/b&gt;")</f>
        <v/>
      </c>
      <c r="AI19" s="42" t="inlineStr">
        <is>
          <t>02/13: FY27 reduction (-5%)</t>
        </is>
      </c>
      <c r="AJ19" s="42">
        <f>IF(ISBLANK(AI19),"","&lt;br&gt;"&amp;AI19)</f>
        <v/>
      </c>
      <c r="AK19" s="4" t="inlineStr">
        <is>
          <t>&lt;br&gt;</t>
        </is>
      </c>
      <c r="AL19" s="42" t="inlineStr">
        <is>
          <t>&lt;b&gt;&lt;i&gt;</t>
        </is>
      </c>
      <c r="AM19" s="42" t="inlineStr">
        <is>
          <t>Governor's 3% + JFAC's 2%&lt;br&gt;Dept. of Correction excluded &lt;br&gt;from additional reduction</t>
        </is>
      </c>
      <c r="AN19" s="42">
        <f>IF(ISBLANK(AM19),"","&lt;/i&gt;")</f>
        <v/>
      </c>
      <c r="AO19" s="35">
        <f>IF(ISBLANK(AQ19),"","&lt;/b&gt;&lt;br&gt;&lt;br&gt;")</f>
        <v/>
      </c>
      <c r="AP19" s="42">
        <f>IF(ISBLANK(AQ19),"","&lt;b&gt;")</f>
        <v/>
      </c>
      <c r="AQ19" s="47" t="inlineStr">
        <is>
          <t xml:space="preserve">Agency Reduction Plan:&lt;br&gt;Additional </t>
        </is>
      </c>
      <c r="AR19" s="42" t="n">
        <v>2</v>
      </c>
      <c r="AS19" s="4">
        <f>IF(ISBLANK(AR19),""," %")</f>
        <v/>
      </c>
      <c r="AT19" s="4">
        <f t="array" ref="AT19">_xlfn.IFS(NOT(ISBLANK(AU19))," (pgs. ",NOT(ISBLANK(AS19))," (pg. ", ISBLANK(AS19), "")</f>
        <v/>
      </c>
      <c r="AU19" s="52" t="n">
        <v>106</v>
      </c>
      <c r="AV19" s="4">
        <f>IF(ISBLANK(AW19),"",", ")</f>
        <v/>
      </c>
      <c r="AW19" s="42" t="n"/>
      <c r="AX19" s="4">
        <f>IF(ISBLANK(AY19),"",",&lt;br&gt;")</f>
        <v/>
      </c>
      <c r="AY19" s="42" t="n"/>
      <c r="AZ19" s="49">
        <f>IF(ISBLANK(AU19),"",")&lt;/b&gt;")</f>
        <v/>
      </c>
      <c r="BA19" s="4">
        <f>IF(ISBLANK(BC19),"","&lt;br&gt;")</f>
        <v/>
      </c>
      <c r="BB19" s="42">
        <f t="array" ref="BB19">IF(ISBLANK(BC19),"",_xlfn.LET(
_xlpm.words,_xlfn.TEXTSPLIT(TRIM(BC19),"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9" s="50" t="inlineStr">
        <is>
          <t>The implementation of six furlough days within the Idaho Department of Correction (IDOC) administration will have significant ripple effects across multiple operational areas. Reduced staffing time will impact employee wellness by increasing stress and workload during non-furlough periods, while also creating delays in processing critical tasks such as paying invoices, addressing maintenance concerns, ordering and distributing supplies such as cleaning products to prisons, completing inmate meal planning and ordering, and fulfilling public records requests. These disruptions not only hinder efficiency but could put IDOC out of compliance with public records laws and at-risk for 8th Amendment claims.</t>
        </is>
      </c>
    </row>
    <row r="20">
      <c r="A20" s="20">
        <f>_xlfn.TEXTJOIN("", TRUE, F20:H20)</f>
        <v/>
      </c>
      <c r="B20" s="21">
        <f>_xlfn.TEXTJOIN("", TRUE, I20:S20)</f>
        <v/>
      </c>
      <c r="C20" s="21">
        <f>IF(ISBLANK(X20),"", _xlfn.TEXTJOIN("",TRUE,T20:Z20))</f>
        <v/>
      </c>
      <c r="D20" s="21">
        <f>IF(ISBLANK(AB20), "", _xlfn.TEXTJOIN("", TRUE, AA20:AC20))</f>
        <v/>
      </c>
      <c r="E20" s="22">
        <f>IF(AU20="NA", _xlfn.TEXTJOIN("", TRUE, AD20:AH20), _xlfn.TEXTJOIN("", TRUE, AD20:AJ20))</f>
        <v/>
      </c>
      <c r="F20" s="42">
        <f>IF(LEFT(G20,4)="FY26","&lt;b&gt;","&lt;i&gt;")</f>
        <v/>
      </c>
      <c r="G20" s="42" t="inlineStr">
        <is>
          <t>FY27 Maintenance</t>
        </is>
      </c>
      <c r="H20" s="42">
        <f>IF(LEFT(G20,4)="FY26","&lt;/b&gt;","&lt;/i&gt;")</f>
        <v/>
      </c>
      <c r="I20" s="43" t="inlineStr">
        <is>
          <t>&lt;i&gt;</t>
        </is>
      </c>
      <c r="J20" s="44" t="inlineStr">
        <is>
          <t>Public Safety</t>
        </is>
      </c>
      <c r="K20" s="44" t="inlineStr">
        <is>
          <t>&lt;/i&gt;</t>
        </is>
      </c>
      <c r="L20" s="4">
        <f>IF(ISBLANK(N20),"","&lt;br&gt;")</f>
        <v/>
      </c>
      <c r="M20" s="42">
        <f>IF(ISBLANK(R20),"&lt;b&gt;","&lt;i&gt;")</f>
        <v/>
      </c>
      <c r="N20" s="42" t="inlineStr">
        <is>
          <t>Dept. of Correction</t>
        </is>
      </c>
      <c r="O20" s="42">
        <f>IF(ISBLANK(R20),"&lt;/b&gt;","&lt;/i&gt;")</f>
        <v/>
      </c>
      <c r="P20" s="4">
        <f>IF(ISBLANK(R20),"","&lt;br&gt;")</f>
        <v/>
      </c>
      <c r="Q20" s="42">
        <f>IF(ISBLANK(R20),"","&lt;b&gt;")</f>
        <v/>
      </c>
      <c r="R20" s="42" t="inlineStr">
        <is>
          <t>State Prisons</t>
        </is>
      </c>
      <c r="S20" s="42">
        <f>IF(ISBLANK(R20),"","&lt;/i&gt;")</f>
        <v/>
      </c>
      <c r="T20" s="43">
        <f>IF(ISBLANK(X20),"",IF(OR(AB20="PASSED",ISBLANK(N20)),"&lt;b&gt;","&lt;i&gt;"))</f>
        <v/>
      </c>
      <c r="U20" s="3">
        <f>IF(ISBLANK(V20),"","&lt;a href='")</f>
        <v/>
      </c>
      <c r="V20" s="39" t="inlineStr">
        <is>
          <t>https://legislature.idaho.gov/sessioninfo/2026/legislation/S1361/</t>
        </is>
      </c>
      <c r="W20" s="17">
        <f>IF(ISBLANK(V20),"","'&gt;")</f>
        <v/>
      </c>
      <c r="X20" s="12" t="inlineStr">
        <is>
          <t>Senate Bill 1361</t>
        </is>
      </c>
      <c r="Y20" s="17">
        <f>IF(ISBLANK(X20),"","&lt;/a&gt;")</f>
        <v/>
      </c>
      <c r="Z20" s="42">
        <f>IF(ISBLANK(X20),"",IF(OR(AB20="PASSED",ISBLANK(N20)),"&lt;/b&gt;","&lt;/i&gt;"))</f>
        <v/>
      </c>
      <c r="AA20" s="43">
        <f>IF(AB20="PASSED","&lt;b&gt;","")</f>
        <v/>
      </c>
      <c r="AB20" s="45" t="inlineStr">
        <is>
          <t>ADVANCED</t>
        </is>
      </c>
      <c r="AC20" s="43">
        <f>IF(AB20="PASSED","&lt;/b&gt;","")</f>
        <v/>
      </c>
      <c r="AD20" s="43">
        <f>IF(ISBLANK(AE20),"","&lt;b&gt;")</f>
        <v/>
      </c>
      <c r="AE20" s="46" t="inlineStr">
        <is>
          <t>03/10</t>
        </is>
      </c>
      <c r="AF20" s="42">
        <f>IF(ISBLANK(AE20),"",": ")</f>
        <v/>
      </c>
      <c r="AG20" s="42" t="inlineStr">
        <is>
          <t>Senate Vote 24-11</t>
        </is>
      </c>
      <c r="AH20" s="42">
        <f>IF(ISBLANK(AE20),"","&lt;/b&gt;")</f>
        <v/>
      </c>
      <c r="AI20" s="42" t="inlineStr">
        <is>
          <t>02/13: FY27 reduction (-5%)</t>
        </is>
      </c>
      <c r="AJ20" s="42">
        <f>IF(ISBLANK(AI20),"","&lt;br&gt;"&amp;AI20)</f>
        <v/>
      </c>
      <c r="AK20" s="4" t="inlineStr">
        <is>
          <t>&lt;br&gt;</t>
        </is>
      </c>
      <c r="AL20" s="42" t="inlineStr">
        <is>
          <t>&lt;b&gt;&lt;i&gt;</t>
        </is>
      </c>
      <c r="AM20" s="42" t="inlineStr">
        <is>
          <t>Governor's 3% + JFAC's 2%&lt;br&gt;Dept. of Correction excluded &lt;br&gt;from additional reduction</t>
        </is>
      </c>
      <c r="AN20" s="42">
        <f>IF(ISBLANK(AM20),"","&lt;/i&gt;")</f>
        <v/>
      </c>
      <c r="AO20" s="35">
        <f>IF(ISBLANK(AQ20),"","&lt;/b&gt;&lt;br&gt;&lt;br&gt;")</f>
        <v/>
      </c>
      <c r="AP20" s="42">
        <f>IF(ISBLANK(AQ20),"","&lt;b&gt;")</f>
        <v/>
      </c>
      <c r="AQ20" s="47" t="inlineStr">
        <is>
          <t xml:space="preserve">Agency Reduction Plan:&lt;br&gt;Additional </t>
        </is>
      </c>
      <c r="AR20" s="42" t="n">
        <v>2</v>
      </c>
      <c r="AS20" s="4">
        <f>IF(ISBLANK(AR20),""," %")</f>
        <v/>
      </c>
      <c r="AT20" s="4">
        <f t="array" ref="AT20">_xlfn.IFS(NOT(ISBLANK(AU20))," (pgs. ",NOT(ISBLANK(AS20))," (pg. ", ISBLANK(AS20), "")</f>
        <v/>
      </c>
      <c r="AU20" s="52" t="n">
        <v>106</v>
      </c>
      <c r="AV20" s="4">
        <f>IF(ISBLANK(AW20),"",", ")</f>
        <v/>
      </c>
      <c r="AW20" s="42" t="n"/>
      <c r="AX20" s="4">
        <f>IF(ISBLANK(AY20),"",",&lt;br&gt;")</f>
        <v/>
      </c>
      <c r="AY20" s="42" t="n"/>
      <c r="AZ20" s="49">
        <f>IF(ISBLANK(AU20),"",")&lt;/b&gt;")</f>
        <v/>
      </c>
      <c r="BA20" s="4">
        <f>IF(ISBLANK(BC20),"","&lt;br&gt;")</f>
        <v/>
      </c>
      <c r="BB20" s="42">
        <f t="array" ref="BB20">IF(ISBLANK(BC20),"",_xlfn.LET(
_xlpm.words,_xlfn.TEXTSPLIT(TRIM(BC20),"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0" s="50" t="inlineStr">
        <is>
          <t>The implementation of six furlough days within the Idaho Department of Correction (IDOC) administration will have significant ripple effects across multiple operational areas. Reduced staffing time will impact employee wellness by increasing stress and workload during non-furlough periods, while also creating delays in processing critical tasks such as paying invoices, addressing maintenance concerns, ordering and distributing supplies such as cleaning products to prisons, completing inmate meal planning and ordering, and fulfilling public records requests. These disruptions not only hinder efficiency but could put IDOC out of compliance with public records laws and at-risk for 8th Amendment claims.</t>
        </is>
      </c>
    </row>
    <row r="21">
      <c r="A21" s="20">
        <f>_xlfn.TEXTJOIN("", TRUE, F21:H21)</f>
        <v/>
      </c>
      <c r="B21" s="21">
        <f>_xlfn.TEXTJOIN("", TRUE, I21:S21)</f>
        <v/>
      </c>
      <c r="C21" s="21">
        <f>IF(ISBLANK(X21),"", _xlfn.TEXTJOIN("",TRUE,T21:Z21))</f>
        <v/>
      </c>
      <c r="D21" s="21">
        <f>IF(ISBLANK(AB21), "", _xlfn.TEXTJOIN("", TRUE, AA21:AC21))</f>
        <v/>
      </c>
      <c r="E21" s="22">
        <f>IF(AU21="NA", _xlfn.TEXTJOIN("", TRUE, AD21:AH21), _xlfn.TEXTJOIN("", TRUE, AD21:AJ21))</f>
        <v/>
      </c>
      <c r="F21" s="42">
        <f>IF(LEFT(G21,4)="FY26","&lt;b&gt;","&lt;i&gt;")</f>
        <v/>
      </c>
      <c r="G21" s="42" t="inlineStr">
        <is>
          <t>FY27 Maintenance</t>
        </is>
      </c>
      <c r="H21" s="42">
        <f>IF(LEFT(G21,4)="FY26","&lt;/b&gt;","&lt;/i&gt;")</f>
        <v/>
      </c>
      <c r="I21" s="43" t="inlineStr">
        <is>
          <t>&lt;i&gt;</t>
        </is>
      </c>
      <c r="J21" s="44" t="inlineStr">
        <is>
          <t>Public Safety</t>
        </is>
      </c>
      <c r="K21" s="44" t="inlineStr">
        <is>
          <t>&lt;/i&gt;</t>
        </is>
      </c>
      <c r="L21" s="4">
        <f>IF(ISBLANK(N21),"","&lt;br&gt;")</f>
        <v/>
      </c>
      <c r="M21" s="42">
        <f>IF(ISBLANK(R21),"&lt;b&gt;","&lt;i&gt;")</f>
        <v/>
      </c>
      <c r="N21" s="42" t="inlineStr">
        <is>
          <t>Dept. of Juvenile Corrections</t>
        </is>
      </c>
      <c r="O21" s="42">
        <f>IF(ISBLANK(R21),"&lt;/b&gt;","&lt;/i&gt;")</f>
        <v/>
      </c>
      <c r="P21" s="4">
        <f>IF(ISBLANK(R21),"","&lt;br&gt;")</f>
        <v/>
      </c>
      <c r="Q21" s="42">
        <f>IF(ISBLANK(R21),"","&lt;b&gt;")</f>
        <v/>
      </c>
      <c r="R21" s="42" t="n"/>
      <c r="S21" s="42">
        <f>IF(ISBLANK(R21),"","&lt;/i&gt;")</f>
        <v/>
      </c>
      <c r="T21" s="43">
        <f>IF(ISBLANK(X21),"",IF(OR(AB21="PASSED",ISBLANK(N21)),"&lt;b&gt;","&lt;i&gt;"))</f>
        <v/>
      </c>
      <c r="U21" s="3">
        <f>IF(ISBLANK(V21),"","&lt;a href='")</f>
        <v/>
      </c>
      <c r="V21" s="39" t="inlineStr">
        <is>
          <t>https://legislature.idaho.gov/sessioninfo/2026/legislation/S1361/</t>
        </is>
      </c>
      <c r="W21" s="17">
        <f>IF(ISBLANK(V21),"","'&gt;")</f>
        <v/>
      </c>
      <c r="X21" s="12" t="inlineStr">
        <is>
          <t>Senate Bill 1361</t>
        </is>
      </c>
      <c r="Y21" s="17">
        <f>IF(ISBLANK(X21),"","&lt;/a&gt;")</f>
        <v/>
      </c>
      <c r="Z21" s="42">
        <f>IF(ISBLANK(X21),"",IF(OR(AB21="PASSED",ISBLANK(N21)),"&lt;/b&gt;","&lt;/i&gt;"))</f>
        <v/>
      </c>
      <c r="AA21" s="43">
        <f>IF(AB21="PASSED","&lt;b&gt;","")</f>
        <v/>
      </c>
      <c r="AB21" s="45" t="inlineStr">
        <is>
          <t>ADVANCED</t>
        </is>
      </c>
      <c r="AC21" s="43">
        <f>IF(AB21="PASSED","&lt;/b&gt;","")</f>
        <v/>
      </c>
      <c r="AD21" s="43">
        <f>IF(ISBLANK(AE21),"","&lt;b&gt;")</f>
        <v/>
      </c>
      <c r="AE21" s="51" t="inlineStr">
        <is>
          <t>03/10</t>
        </is>
      </c>
      <c r="AF21" s="42">
        <f>IF(ISBLANK(AE21),"",": ")</f>
        <v/>
      </c>
      <c r="AG21" s="42" t="inlineStr">
        <is>
          <t>Senate Vote 24-11</t>
        </is>
      </c>
      <c r="AH21" s="42">
        <f>IF(ISBLANK(AE21),"","&lt;/b&gt;")</f>
        <v/>
      </c>
      <c r="AI21" s="42" t="inlineStr">
        <is>
          <t>02/13: FY27 reduction (-5%)</t>
        </is>
      </c>
      <c r="AJ21" s="42">
        <f>IF(ISBLANK(AI21),"","&lt;br&gt;"&amp;AI21)</f>
        <v/>
      </c>
      <c r="AK21" s="4" t="inlineStr">
        <is>
          <t>&lt;br&gt;</t>
        </is>
      </c>
      <c r="AL21" s="42" t="inlineStr">
        <is>
          <t>&lt;b&gt;&lt;i&gt;</t>
        </is>
      </c>
      <c r="AM21" s="42" t="inlineStr">
        <is>
          <t>Governor's 3% + JFAC's 2%</t>
        </is>
      </c>
      <c r="AN21" s="42">
        <f>IF(ISBLANK(AM21),"","&lt;/i&gt;")</f>
        <v/>
      </c>
      <c r="AO21" s="35">
        <f>IF(ISBLANK(AQ21),"","&lt;/b&gt;&lt;br&gt;&lt;br&gt;")</f>
        <v/>
      </c>
      <c r="AP21" s="42">
        <f>IF(ISBLANK(AQ21),"","&lt;b&gt;")</f>
        <v/>
      </c>
      <c r="AQ21" s="47" t="inlineStr">
        <is>
          <t xml:space="preserve">Agency Reduction Plan:&lt;br&gt;Additional </t>
        </is>
      </c>
      <c r="AR21" s="42" t="n">
        <v>2</v>
      </c>
      <c r="AS21" s="4">
        <f>IF(ISBLANK(AR21),""," %")</f>
        <v/>
      </c>
      <c r="AT21" s="4">
        <f t="array" ref="AT21">_xlfn.IFS(NOT(ISBLANK(AU21))," (pgs. ",NOT(ISBLANK(AS21))," (pg. ", ISBLANK(AS21), "")</f>
        <v/>
      </c>
      <c r="AU21" s="52" t="n">
        <v>112</v>
      </c>
      <c r="AV21" s="4">
        <f>IF(ISBLANK(AW21),"",", ")</f>
        <v/>
      </c>
      <c r="AW21" s="53" t="n">
        <v>116</v>
      </c>
      <c r="AX21" s="4">
        <f>IF(ISBLANK(AY21),"",",&lt;br&gt;")</f>
        <v/>
      </c>
      <c r="AY21" s="42" t="n"/>
      <c r="AZ21" s="49">
        <f>IF(ISBLANK(AU21),"",")&lt;/b&gt;")</f>
        <v/>
      </c>
      <c r="BA21" s="4">
        <f>IF(ISBLANK(BC21),"","&lt;br&gt;")</f>
        <v/>
      </c>
      <c r="BB21" s="42">
        <f t="array" ref="BB21">IF(ISBLANK(BC21),"",_xlfn.LET(
_xlpm.words,_xlfn.TEXTSPLIT(TRIM(BC21),"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1" s="50" t="inlineStr">
        <is>
          <t>The 2% plans include FTP reductions associated with facility staffing and coverage: These reductions occur in the context of IDJC’s ongoing staffing challenges. A recently drafted independent staffing analysis concluded the department is already understaffed and requires 12 additional FTE to meet ratios for compliance and ensure adequate relief coverage in our 24/7 facilities based on the current IDJC population. As IDJC’s population increases, additional FTEs are required to maintain Prison Rape Elimination Act (PREA) compliance and provide safe, effective supervision. For example, if all 238 beds were occupied, an 8-hour shift model would require 99 more FTEs than are currently funded. IDJC has been working to anticipate these needs by reclassifying internal vacancies to direct care positions. Currently IDJC is holding these FTEs vacant to fill critical gaps in coverage, pending the outcome of the staffing analysis. This strategy was designed to immediately address concerns outlined in the staffing analysis during a difficult budget climate, but it will only be creating half of the positions needed per the staffing analysis. However, a 2% additional budget reduction scenario would prevent filling those positions and would further impact IDJC’s ability to operate safely given the recent staffing analysis report. The 2% plans incorporate all items from the 1% scenarios, plus the following: These funds are the state’s emergency safety net for counties that lack infrastructure to support youth with emerging behavioral health, substance use, or family crises. Eliminating funding capacity reduces crisis response, increases statewide inequities, and heightens risk of detention placement. Prevention supports for juveniles in the community impact success in diversion programs, and the prevention of recidivism. Additional internal efficiencies are limited depending on staff vacancy rates, unanticipated medical absences and leaves or operational needs driven by safety, health and wellness needs of juveniles in our custody.</t>
        </is>
      </c>
    </row>
    <row r="22">
      <c r="A22" s="20">
        <f>_xlfn.TEXTJOIN("", TRUE, F22:H22)</f>
        <v/>
      </c>
      <c r="B22" s="21">
        <f>_xlfn.TEXTJOIN("", TRUE, I22:S22)</f>
        <v/>
      </c>
      <c r="C22" s="21">
        <f>IF(ISBLANK(X22),"", _xlfn.TEXTJOIN("",TRUE,T22:Z22))</f>
        <v/>
      </c>
      <c r="D22" s="21">
        <f>IF(ISBLANK(AB22), "", _xlfn.TEXTJOIN("", TRUE, AA22:AC22))</f>
        <v/>
      </c>
      <c r="E22" s="22">
        <f>IF(AU22="NA", _xlfn.TEXTJOIN("", TRUE, AD22:AH22), _xlfn.TEXTJOIN("", TRUE, AD22:AJ22))</f>
        <v/>
      </c>
      <c r="F22" s="42">
        <f>IF(LEFT(G22,4)="FY26","&lt;b&gt;","&lt;i&gt;")</f>
        <v/>
      </c>
      <c r="G22" s="42" t="inlineStr">
        <is>
          <t>FY27 Maintenance</t>
        </is>
      </c>
      <c r="H22" s="42">
        <f>IF(LEFT(G22,4)="FY26","&lt;/b&gt;","&lt;/i&gt;")</f>
        <v/>
      </c>
      <c r="I22" s="43" t="inlineStr">
        <is>
          <t>&lt;i&gt;</t>
        </is>
      </c>
      <c r="J22" s="44" t="inlineStr">
        <is>
          <t>Public Safety</t>
        </is>
      </c>
      <c r="K22" s="44" t="inlineStr">
        <is>
          <t>&lt;/i&gt;</t>
        </is>
      </c>
      <c r="L22" s="4">
        <f>IF(ISBLANK(N22),"","&lt;br&gt;")</f>
        <v/>
      </c>
      <c r="M22" s="42">
        <f>IF(ISBLANK(R22),"&lt;b&gt;","&lt;i&gt;")</f>
        <v/>
      </c>
      <c r="N22" s="42" t="inlineStr">
        <is>
          <t>Idaho State Police</t>
        </is>
      </c>
      <c r="O22" s="42">
        <f>IF(ISBLANK(R22),"&lt;/b&gt;","&lt;/i&gt;")</f>
        <v/>
      </c>
      <c r="P22" s="4">
        <f>IF(ISBLANK(R22),"","&lt;br&gt;")</f>
        <v/>
      </c>
      <c r="Q22" s="42">
        <f>IF(ISBLANK(R22),"","&lt;b&gt;")</f>
        <v/>
      </c>
      <c r="R22" s="42" t="n"/>
      <c r="S22" s="42">
        <f>IF(ISBLANK(R22),"","&lt;/i&gt;")</f>
        <v/>
      </c>
      <c r="T22" s="43">
        <f>IF(ISBLANK(X22),"",IF(OR(AB22="PASSED",ISBLANK(N22)),"&lt;b&gt;","&lt;i&gt;"))</f>
        <v/>
      </c>
      <c r="U22" s="3">
        <f>IF(ISBLANK(V22),"","&lt;a href='")</f>
        <v/>
      </c>
      <c r="V22" s="39" t="inlineStr">
        <is>
          <t>https://legislature.idaho.gov/sessioninfo/2026/legislation/S1361/</t>
        </is>
      </c>
      <c r="W22" s="17">
        <f>IF(ISBLANK(V22),"","'&gt;")</f>
        <v/>
      </c>
      <c r="X22" s="12" t="inlineStr">
        <is>
          <t>Senate Bill 1361</t>
        </is>
      </c>
      <c r="Y22" s="17">
        <f>IF(ISBLANK(X22),"","&lt;/a&gt;")</f>
        <v/>
      </c>
      <c r="Z22" s="42">
        <f>IF(ISBLANK(X22),"",IF(OR(AB22="PASSED",ISBLANK(N22)),"&lt;/b&gt;","&lt;/i&gt;"))</f>
        <v/>
      </c>
      <c r="AA22" s="43">
        <f>IF(AB22="PASSED","&lt;b&gt;","")</f>
        <v/>
      </c>
      <c r="AB22" s="45" t="inlineStr">
        <is>
          <t>ADVANCED</t>
        </is>
      </c>
      <c r="AC22" s="43">
        <f>IF(AB22="PASSED","&lt;/b&gt;","")</f>
        <v/>
      </c>
      <c r="AD22" s="43">
        <f>IF(ISBLANK(AE22),"","&lt;b&gt;")</f>
        <v/>
      </c>
      <c r="AE22" s="46" t="inlineStr">
        <is>
          <t>03/10</t>
        </is>
      </c>
      <c r="AF22" s="42">
        <f>IF(ISBLANK(AE22),"",": ")</f>
        <v/>
      </c>
      <c r="AG22" s="42" t="inlineStr">
        <is>
          <t>Senate Vote 24-11</t>
        </is>
      </c>
      <c r="AH22" s="42">
        <f>IF(ISBLANK(AE22),"","&lt;/b&gt;")</f>
        <v/>
      </c>
      <c r="AI22" s="42" t="inlineStr">
        <is>
          <t>02/13: FY27 reduction (-5%)</t>
        </is>
      </c>
      <c r="AJ22" s="42">
        <f>IF(ISBLANK(AI22),"","&lt;br&gt;"&amp;AI22)</f>
        <v/>
      </c>
      <c r="AK22" s="4" t="inlineStr">
        <is>
          <t>&lt;br&gt;</t>
        </is>
      </c>
      <c r="AL22" s="42" t="inlineStr">
        <is>
          <t>&lt;b&gt;&lt;i&gt;</t>
        </is>
      </c>
      <c r="AM22" s="42" t="inlineStr">
        <is>
          <t>Governor's 3% + JFAC's 2%&lt;br&gt;Idaho State Police excluded &lt;br&gt;from holdback/reduction</t>
        </is>
      </c>
      <c r="AN22" s="42">
        <f>IF(ISBLANK(AM22),"","&lt;/i&gt;")</f>
        <v/>
      </c>
      <c r="AO22" s="35">
        <f>IF(ISBLANK(AQ22),"","&lt;/b&gt;&lt;br&gt;&lt;br&gt;")</f>
        <v/>
      </c>
      <c r="AP22" s="42">
        <f>IF(ISBLANK(AQ22),"","&lt;b&gt;")</f>
        <v/>
      </c>
      <c r="AQ22" s="47" t="inlineStr">
        <is>
          <t xml:space="preserve">Agency Reduction Plan:&lt;br&gt;Additional </t>
        </is>
      </c>
      <c r="AR22" s="42" t="n">
        <v>2</v>
      </c>
      <c r="AS22" s="4">
        <f>IF(ISBLANK(AR22),""," %")</f>
        <v/>
      </c>
      <c r="AT22" s="4">
        <f t="array" ref="AT22">_xlfn.IFS(NOT(ISBLANK(AU22))," (pgs. ",NOT(ISBLANK(AS22))," (pg. ", ISBLANK(AS22), "")</f>
        <v/>
      </c>
      <c r="AU22" s="52" t="n">
        <v>122</v>
      </c>
      <c r="AV22" s="4">
        <f>IF(ISBLANK(AW22),"",", ")</f>
        <v/>
      </c>
      <c r="AW22" s="53" t="n">
        <v>123</v>
      </c>
      <c r="AX22" s="4">
        <f>IF(ISBLANK(AY22),"",",&lt;br&gt;")</f>
        <v/>
      </c>
      <c r="AY22" s="42" t="n"/>
      <c r="AZ22" s="49">
        <f>IF(ISBLANK(AU22),"",")&lt;/b&gt;")</f>
        <v/>
      </c>
      <c r="BA22" s="4">
        <f>IF(ISBLANK(BC22),"","&lt;br&gt;")</f>
        <v/>
      </c>
      <c r="BB22" s="42">
        <f t="array" ref="BB22">IF(ISBLANK(BC22),"",_xlfn.LET(
_xlpm.words,_xlfn.TEXTSPLIT(TRIM(BC22),"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2" s="50" t="inlineStr">
        <is>
          <t>Administrative and support functions have already been reduced; any further cuts would directly affect operational capacity and public safety. Increase furloughs to approximately 95 hours per trooper; Eliminate 11 CPS positions. These actions would significantly reduce trooper availability for patrol and investigations and increase response times to crashes, crimes, and emergencies statewide. Elimination of ISP management of the Federal 1033 (LESO) equipment program; Removal of a forensic laboratory management position; Further reductions to Capitol Protective Services staffing; Reduce police presence during protests and legislative sessions.  Under the 2% reduction, ISP would also be required to eliminate its SWAT team, significantly reducing the state’s capacity to respond to high-risk and active-threat incidents. Reduced Patrol Capacity: Furloughs of 50–95 hours per commissioned employee would result in an estimated 16,000–30,000 fewer hours of police activity in FY 2026. Capitol and State Facility Security: CPS was expanded in FY2023 to provide dedicated security for the Legislature, Capitol Mall, and Chinden Campus.  Eliminating these positions would: Further reduce police presence during protests and legislative sessions; Eliminate on-site law enforcement coverage at the Chinden Campus; Require pulling troopers off the road to staff high-profile events. Forensic Services Delays: Eliminating the forensic laboratory management position would slow evidence processing, increase backlog risks, and delay investigations, prosecutions, and court proceedings statewide. Reduced Support to Local Agencies: ISP’s ability to assist local law enforcement— both daily and during major incidents—would be significantly limited. Reducing SWAT: ISP would have less availability to help other police agencies with tactical operations requests.</t>
        </is>
      </c>
    </row>
    <row r="23">
      <c r="A23" s="20">
        <f>_xlfn.TEXTJOIN("", TRUE, F23:H23)</f>
        <v/>
      </c>
      <c r="B23" s="21">
        <f>_xlfn.TEXTJOIN("", TRUE, I23:S23)</f>
        <v/>
      </c>
      <c r="C23" s="21">
        <f>IF(ISBLANK(X23),"", _xlfn.TEXTJOIN("",TRUE,T23:Z23))</f>
        <v/>
      </c>
      <c r="D23" s="21">
        <f>IF(ISBLANK(AB23), "", _xlfn.TEXTJOIN("", TRUE, AA23:AC23))</f>
        <v/>
      </c>
      <c r="E23" s="22">
        <f>IF(AU23="NA", _xlfn.TEXTJOIN("", TRUE, AD23:AH23), _xlfn.TEXTJOIN("", TRUE, AD23:AJ23))</f>
        <v/>
      </c>
      <c r="F23" s="42">
        <f>IF(LEFT(G23,4)="FY26","&lt;b&gt;","&lt;i&gt;")</f>
        <v/>
      </c>
      <c r="G23" s="42" t="inlineStr">
        <is>
          <t>FY27 Maintenance</t>
        </is>
      </c>
      <c r="H23" s="42">
        <f>IF(LEFT(G23,4)="FY26","&lt;/b&gt;","&lt;/i&gt;")</f>
        <v/>
      </c>
      <c r="I23" s="43" t="inlineStr">
        <is>
          <t>&lt;i&gt;</t>
        </is>
      </c>
      <c r="J23" s="44" t="inlineStr">
        <is>
          <t>Public Safety</t>
        </is>
      </c>
      <c r="K23" s="44" t="inlineStr">
        <is>
          <t>&lt;/i&gt;</t>
        </is>
      </c>
      <c r="L23" s="4">
        <f>IF(ISBLANK(N23),"","&lt;br&gt;")</f>
        <v/>
      </c>
      <c r="M23" s="42">
        <f>IF(ISBLANK(R23),"&lt;b&gt;","&lt;i&gt;")</f>
        <v/>
      </c>
      <c r="N23" s="42" t="inlineStr">
        <is>
          <t>Idaho State Police</t>
        </is>
      </c>
      <c r="O23" s="42">
        <f>IF(ISBLANK(R23),"&lt;/b&gt;","&lt;/i&gt;")</f>
        <v/>
      </c>
      <c r="P23" s="4">
        <f>IF(ISBLANK(R23),"","&lt;br&gt;")</f>
        <v/>
      </c>
      <c r="Q23" s="42">
        <f>IF(ISBLANK(R23),"","&lt;b&gt;")</f>
        <v/>
      </c>
      <c r="R23" s="42" t="inlineStr">
        <is>
          <t>Brand Inspection</t>
        </is>
      </c>
      <c r="S23" s="42">
        <f>IF(ISBLANK(R23),"","&lt;/i&gt;")</f>
        <v/>
      </c>
      <c r="T23" s="43">
        <f>IF(ISBLANK(X23),"",IF(OR(AB23="PASSED",ISBLANK(N23)),"&lt;b&gt;","&lt;i&gt;"))</f>
        <v/>
      </c>
      <c r="U23" s="3">
        <f>IF(ISBLANK(V23),"","&lt;a href='")</f>
        <v/>
      </c>
      <c r="V23" s="39" t="inlineStr">
        <is>
          <t>https://legislature.idaho.gov/sessioninfo/2026/legislation/S1361/</t>
        </is>
      </c>
      <c r="W23" s="17">
        <f>IF(ISBLANK(V23),"","'&gt;")</f>
        <v/>
      </c>
      <c r="X23" s="12" t="inlineStr">
        <is>
          <t>Senate Bill 1361</t>
        </is>
      </c>
      <c r="Y23" s="17">
        <f>IF(ISBLANK(X23),"","&lt;/a&gt;")</f>
        <v/>
      </c>
      <c r="Z23" s="42">
        <f>IF(ISBLANK(X23),"",IF(OR(AB23="PASSED",ISBLANK(N23)),"&lt;/b&gt;","&lt;/i&gt;"))</f>
        <v/>
      </c>
      <c r="AA23" s="43">
        <f>IF(AB23="PASSED","&lt;b&gt;","")</f>
        <v/>
      </c>
      <c r="AB23" s="45" t="inlineStr">
        <is>
          <t>ADVANCED</t>
        </is>
      </c>
      <c r="AC23" s="43">
        <f>IF(AB23="PASSED","&lt;/b&gt;","")</f>
        <v/>
      </c>
      <c r="AD23" s="43">
        <f>IF(ISBLANK(AE23),"","&lt;b&gt;")</f>
        <v/>
      </c>
      <c r="AE23" s="51" t="inlineStr">
        <is>
          <t>03/10</t>
        </is>
      </c>
      <c r="AF23" s="42">
        <f>IF(ISBLANK(AE23),"",": ")</f>
        <v/>
      </c>
      <c r="AG23" s="42" t="inlineStr">
        <is>
          <t>Senate Vote 24-11</t>
        </is>
      </c>
      <c r="AH23" s="42">
        <f>IF(ISBLANK(AE23),"","&lt;/b&gt;")</f>
        <v/>
      </c>
      <c r="AI23" s="42" t="inlineStr">
        <is>
          <t>02/13: FY27 reduction (-5%)</t>
        </is>
      </c>
      <c r="AJ23" s="42">
        <f>IF(ISBLANK(AI23),"","&lt;br&gt;"&amp;AI23)</f>
        <v/>
      </c>
      <c r="AK23" s="4" t="inlineStr">
        <is>
          <t>&lt;br&gt;</t>
        </is>
      </c>
      <c r="AL23" s="42" t="inlineStr">
        <is>
          <t>&lt;b&gt;&lt;i&gt;</t>
        </is>
      </c>
      <c r="AM23" s="42" t="inlineStr">
        <is>
          <t>Governor's 3% + JFAC's 2%&lt;br&gt;Idaho State Police excluded &lt;br&gt;from holdback/reduction</t>
        </is>
      </c>
      <c r="AN23" s="42">
        <f>IF(ISBLANK(AM23),"","&lt;/i&gt;")</f>
        <v/>
      </c>
      <c r="AO23" s="35">
        <f>IF(ISBLANK(AQ23),"","&lt;/b&gt;&lt;br&gt;&lt;br&gt;")</f>
        <v/>
      </c>
      <c r="AP23" s="42">
        <f>IF(ISBLANK(AQ23),"","&lt;b&gt;")</f>
        <v/>
      </c>
      <c r="AQ23" s="47" t="inlineStr">
        <is>
          <t xml:space="preserve">Agency Reduction Plan:&lt;br&gt;Additional </t>
        </is>
      </c>
      <c r="AR23" s="42" t="n">
        <v>2</v>
      </c>
      <c r="AS23" s="4">
        <f>IF(ISBLANK(AR23),""," %")</f>
        <v/>
      </c>
      <c r="AT23" s="4">
        <f t="array" ref="AT23">_xlfn.IFS(NOT(ISBLANK(AU23))," (pgs. ",NOT(ISBLANK(AS23))," (pg. ", ISBLANK(AS23), "")</f>
        <v/>
      </c>
      <c r="AU23" s="52" t="inlineStr">
        <is>
          <t>NA</t>
        </is>
      </c>
      <c r="AV23" s="4">
        <f>IF(ISBLANK(AW23),"",", ")</f>
        <v/>
      </c>
      <c r="AW23" s="42" t="n"/>
      <c r="AX23" s="4">
        <f>IF(ISBLANK(AY23),"",",&lt;br&gt;")</f>
        <v/>
      </c>
      <c r="AY23" s="42" t="n"/>
      <c r="AZ23" s="49">
        <f>IF(ISBLANK(AU23),"",")&lt;/b&gt;")</f>
        <v/>
      </c>
      <c r="BA23" s="4">
        <f>IF(ISBLANK(BC23),"","&lt;br&gt;")</f>
        <v/>
      </c>
      <c r="BB23" s="42">
        <f t="array" ref="BB23">IF(ISBLANK(BC23),"",_xlfn.LET(
_xlpm.words,_xlfn.TEXTSPLIT(TRIM(BC23),"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3" s="50" t="n"/>
    </row>
    <row r="24">
      <c r="A24" s="20">
        <f>_xlfn.TEXTJOIN("", TRUE, F24:H24)</f>
        <v/>
      </c>
      <c r="B24" s="21">
        <f>_xlfn.TEXTJOIN("", TRUE, I24:S24)</f>
        <v/>
      </c>
      <c r="C24" s="21">
        <f>IF(ISBLANK(X24),"", _xlfn.TEXTJOIN("",TRUE,T24:Z24))</f>
        <v/>
      </c>
      <c r="D24" s="21">
        <f>IF(ISBLANK(AB24), "", _xlfn.TEXTJOIN("", TRUE, AA24:AC24))</f>
        <v/>
      </c>
      <c r="E24" s="22">
        <f>IF(AU24="NA", _xlfn.TEXTJOIN("", TRUE, AD24:AH24), _xlfn.TEXTJOIN("", TRUE, AD24:AJ24))</f>
        <v/>
      </c>
      <c r="F24" s="42">
        <f>IF(LEFT(G24,4)="FY26","&lt;b&gt;","&lt;i&gt;")</f>
        <v/>
      </c>
      <c r="G24" s="42" t="inlineStr">
        <is>
          <t>FY27 Maintenance</t>
        </is>
      </c>
      <c r="H24" s="42">
        <f>IF(LEFT(G24,4)="FY26","&lt;/b&gt;","&lt;/i&gt;")</f>
        <v/>
      </c>
      <c r="I24" s="43" t="inlineStr">
        <is>
          <t>&lt;i&gt;</t>
        </is>
      </c>
      <c r="J24" s="44" t="inlineStr">
        <is>
          <t>Public Safety</t>
        </is>
      </c>
      <c r="K24" s="44" t="inlineStr">
        <is>
          <t>&lt;/i&gt;</t>
        </is>
      </c>
      <c r="L24" s="4">
        <f>IF(ISBLANK(N24),"","&lt;br&gt;")</f>
        <v/>
      </c>
      <c r="M24" s="42">
        <f>IF(ISBLANK(R24),"&lt;b&gt;","&lt;i&gt;")</f>
        <v/>
      </c>
      <c r="N24" s="42" t="inlineStr">
        <is>
          <t>Idaho State Police</t>
        </is>
      </c>
      <c r="O24" s="42">
        <f>IF(ISBLANK(R24),"&lt;/b&gt;","&lt;/i&gt;")</f>
        <v/>
      </c>
      <c r="P24" s="4">
        <f>IF(ISBLANK(R24),"","&lt;br&gt;")</f>
        <v/>
      </c>
      <c r="Q24" s="42">
        <f>IF(ISBLANK(R24),"","&lt;b&gt;")</f>
        <v/>
      </c>
      <c r="R24" s="42" t="inlineStr">
        <is>
          <t>POST Academy</t>
        </is>
      </c>
      <c r="S24" s="42">
        <f>IF(ISBLANK(R24),"","&lt;/i&gt;")</f>
        <v/>
      </c>
      <c r="T24" s="43">
        <f>IF(ISBLANK(X24),"",IF(OR(AB24="PASSED",ISBLANK(N24)),"&lt;b&gt;","&lt;i&gt;"))</f>
        <v/>
      </c>
      <c r="U24" s="3">
        <f>IF(ISBLANK(V24),"","&lt;a href='")</f>
        <v/>
      </c>
      <c r="V24" s="39" t="inlineStr">
        <is>
          <t>https://legislature.idaho.gov/sessioninfo/2026/legislation/S1361/</t>
        </is>
      </c>
      <c r="W24" s="17">
        <f>IF(ISBLANK(V24),"","'&gt;")</f>
        <v/>
      </c>
      <c r="X24" s="12" t="inlineStr">
        <is>
          <t>Senate Bill 1361</t>
        </is>
      </c>
      <c r="Y24" s="17">
        <f>IF(ISBLANK(X24),"","&lt;/a&gt;")</f>
        <v/>
      </c>
      <c r="Z24" s="42">
        <f>IF(ISBLANK(X24),"",IF(OR(AB24="PASSED",ISBLANK(N24)),"&lt;/b&gt;","&lt;/i&gt;"))</f>
        <v/>
      </c>
      <c r="AA24" s="43">
        <f>IF(AB24="PASSED","&lt;b&gt;","")</f>
        <v/>
      </c>
      <c r="AB24" s="45" t="inlineStr">
        <is>
          <t>ADVANCED</t>
        </is>
      </c>
      <c r="AC24" s="43">
        <f>IF(AB24="PASSED","&lt;/b&gt;","")</f>
        <v/>
      </c>
      <c r="AD24" s="43">
        <f>IF(ISBLANK(AE24),"","&lt;b&gt;")</f>
        <v/>
      </c>
      <c r="AE24" s="46" t="inlineStr">
        <is>
          <t>03/10</t>
        </is>
      </c>
      <c r="AF24" s="42">
        <f>IF(ISBLANK(AE24),"",": ")</f>
        <v/>
      </c>
      <c r="AG24" s="42" t="inlineStr">
        <is>
          <t>Senate Vote 24-11</t>
        </is>
      </c>
      <c r="AH24" s="42">
        <f>IF(ISBLANK(AE24),"","&lt;/b&gt;")</f>
        <v/>
      </c>
      <c r="AI24" s="42" t="inlineStr">
        <is>
          <t>02/13: FY27 reduction (-5%)</t>
        </is>
      </c>
      <c r="AJ24" s="42">
        <f>IF(ISBLANK(AI24),"","&lt;br&gt;"&amp;AI24)</f>
        <v/>
      </c>
      <c r="AK24" s="4" t="inlineStr">
        <is>
          <t>&lt;br&gt;</t>
        </is>
      </c>
      <c r="AL24" s="42" t="inlineStr">
        <is>
          <t>&lt;b&gt;&lt;i&gt;</t>
        </is>
      </c>
      <c r="AM24" s="42" t="inlineStr">
        <is>
          <t>Governor's 3% + JFAC's 2%&lt;br&gt;Idaho State Police excluded &lt;br&gt;from holdback/reduction</t>
        </is>
      </c>
      <c r="AN24" s="42">
        <f>IF(ISBLANK(AM24),"","&lt;/i&gt;")</f>
        <v/>
      </c>
      <c r="AO24" s="35">
        <f>IF(ISBLANK(AQ24),"","&lt;/b&gt;&lt;br&gt;&lt;br&gt;")</f>
        <v/>
      </c>
      <c r="AP24" s="42">
        <f>IF(ISBLANK(AQ24),"","&lt;b&gt;")</f>
        <v/>
      </c>
      <c r="AQ24" s="47" t="inlineStr">
        <is>
          <t xml:space="preserve">Agency Reduction Plan:&lt;br&gt;Additional </t>
        </is>
      </c>
      <c r="AR24" s="42" t="n">
        <v>2</v>
      </c>
      <c r="AS24" s="4">
        <f>IF(ISBLANK(AR24),""," %")</f>
        <v/>
      </c>
      <c r="AT24" s="4">
        <f t="array" ref="AT24">_xlfn.IFS(NOT(ISBLANK(AU24))," (pgs. ",NOT(ISBLANK(AS24))," (pg. ", ISBLANK(AS24), "")</f>
        <v/>
      </c>
      <c r="AU24" s="52" t="inlineStr">
        <is>
          <t>NA</t>
        </is>
      </c>
      <c r="AV24" s="4">
        <f>IF(ISBLANK(AW24),"",", ")</f>
        <v/>
      </c>
      <c r="AW24" s="42" t="n"/>
      <c r="AX24" s="4">
        <f>IF(ISBLANK(AY24),"",",&lt;br&gt;")</f>
        <v/>
      </c>
      <c r="AY24" s="42" t="n"/>
      <c r="AZ24" s="49">
        <f>IF(ISBLANK(AU24),"",")&lt;/b&gt;")</f>
        <v/>
      </c>
      <c r="BA24" s="4">
        <f>IF(ISBLANK(BC24),"","&lt;br&gt;")</f>
        <v/>
      </c>
      <c r="BB24" s="42">
        <f t="array" ref="BB24">IF(ISBLANK(BC24),"",_xlfn.LET(
_xlpm.words,_xlfn.TEXTSPLIT(TRIM(BC24),"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4" s="50" t="n"/>
    </row>
    <row r="25">
      <c r="A25" s="20">
        <f>_xlfn.TEXTJOIN("", TRUE, F25:H25)</f>
        <v/>
      </c>
      <c r="B25" s="21">
        <f>_xlfn.TEXTJOIN("", TRUE, I25:S25)</f>
        <v/>
      </c>
      <c r="C25" s="21">
        <f>IF(ISBLANK(X25),"", _xlfn.TEXTJOIN("",TRUE,T25:Z25))</f>
        <v/>
      </c>
      <c r="D25" s="21">
        <f>IF(ISBLANK(AB25), "", _xlfn.TEXTJOIN("", TRUE, AA25:AC25))</f>
        <v/>
      </c>
      <c r="E25" s="22">
        <f>IF(AU25="NA", _xlfn.TEXTJOIN("", TRUE, AD25:AH25), _xlfn.TEXTJOIN("", TRUE, AD25:AJ25))</f>
        <v/>
      </c>
      <c r="F25" s="42">
        <f>IF(LEFT(G25,4)="FY26","&lt;b&gt;","&lt;i&gt;")</f>
        <v/>
      </c>
      <c r="G25" s="42" t="inlineStr">
        <is>
          <t>FY27 Maintenance</t>
        </is>
      </c>
      <c r="H25" s="42">
        <f>IF(LEFT(G25,4)="FY26","&lt;/b&gt;","&lt;/i&gt;")</f>
        <v/>
      </c>
      <c r="I25" s="43" t="inlineStr">
        <is>
          <t>&lt;i&gt;</t>
        </is>
      </c>
      <c r="J25" s="44" t="inlineStr">
        <is>
          <t>Public Safety</t>
        </is>
      </c>
      <c r="K25" s="44" t="inlineStr">
        <is>
          <t>&lt;/i&gt;</t>
        </is>
      </c>
      <c r="L25" s="4">
        <f>IF(ISBLANK(N25),"","&lt;br&gt;")</f>
        <v/>
      </c>
      <c r="M25" s="42">
        <f>IF(ISBLANK(R25),"&lt;b&gt;","&lt;i&gt;")</f>
        <v/>
      </c>
      <c r="N25" s="42" t="inlineStr">
        <is>
          <t>Idaho State Police</t>
        </is>
      </c>
      <c r="O25" s="42">
        <f>IF(ISBLANK(R25),"&lt;/b&gt;","&lt;/i&gt;")</f>
        <v/>
      </c>
      <c r="P25" s="4">
        <f>IF(ISBLANK(R25),"","&lt;br&gt;")</f>
        <v/>
      </c>
      <c r="Q25" s="42">
        <f>IF(ISBLANK(R25),"","&lt;b&gt;")</f>
        <v/>
      </c>
      <c r="R25" s="42" t="inlineStr">
        <is>
          <t>Racing Comm.</t>
        </is>
      </c>
      <c r="S25" s="42">
        <f>IF(ISBLANK(R25),"","&lt;/i&gt;")</f>
        <v/>
      </c>
      <c r="T25" s="43">
        <f>IF(ISBLANK(X25),"",IF(OR(AB25="PASSED",ISBLANK(N25)),"&lt;b&gt;","&lt;i&gt;"))</f>
        <v/>
      </c>
      <c r="U25" s="3">
        <f>IF(ISBLANK(V25),"","&lt;a href='")</f>
        <v/>
      </c>
      <c r="V25" s="39" t="inlineStr">
        <is>
          <t>https://legislature.idaho.gov/sessioninfo/2026/legislation/S1361/</t>
        </is>
      </c>
      <c r="W25" s="17">
        <f>IF(ISBLANK(V25),"","'&gt;")</f>
        <v/>
      </c>
      <c r="X25" s="12" t="inlineStr">
        <is>
          <t>Senate Bill 1361</t>
        </is>
      </c>
      <c r="Y25" s="17">
        <f>IF(ISBLANK(X25),"","&lt;/a&gt;")</f>
        <v/>
      </c>
      <c r="Z25" s="42">
        <f>IF(ISBLANK(X25),"",IF(OR(AB25="PASSED",ISBLANK(N25)),"&lt;/b&gt;","&lt;/i&gt;"))</f>
        <v/>
      </c>
      <c r="AA25" s="43">
        <f>IF(AB25="PASSED","&lt;b&gt;","")</f>
        <v/>
      </c>
      <c r="AB25" s="45" t="inlineStr">
        <is>
          <t>ADVANCED</t>
        </is>
      </c>
      <c r="AC25" s="43">
        <f>IF(AB25="PASSED","&lt;/b&gt;","")</f>
        <v/>
      </c>
      <c r="AD25" s="43">
        <f>IF(ISBLANK(AE25),"","&lt;b&gt;")</f>
        <v/>
      </c>
      <c r="AE25" s="51" t="inlineStr">
        <is>
          <t>03/10</t>
        </is>
      </c>
      <c r="AF25" s="42">
        <f>IF(ISBLANK(AE25),"",": ")</f>
        <v/>
      </c>
      <c r="AG25" s="42" t="inlineStr">
        <is>
          <t>Senate Vote 24-11</t>
        </is>
      </c>
      <c r="AH25" s="42">
        <f>IF(ISBLANK(AE25),"","&lt;/b&gt;")</f>
        <v/>
      </c>
      <c r="AI25" s="42" t="inlineStr">
        <is>
          <t>02/13: FY27 reduction (-5%)</t>
        </is>
      </c>
      <c r="AJ25" s="42">
        <f>IF(ISBLANK(AI25),"","&lt;br&gt;"&amp;AI25)</f>
        <v/>
      </c>
      <c r="AK25" s="4" t="inlineStr">
        <is>
          <t>&lt;br&gt;</t>
        </is>
      </c>
      <c r="AL25" s="42" t="inlineStr">
        <is>
          <t>&lt;b&gt;&lt;i&gt;</t>
        </is>
      </c>
      <c r="AM25" s="42" t="inlineStr">
        <is>
          <t>Governor's 3% + JFAC's 2%&lt;br&gt;Idaho State Police excluded &lt;br&gt;from holdback/reduction</t>
        </is>
      </c>
      <c r="AN25" s="42">
        <f>IF(ISBLANK(AM25),"","&lt;/i&gt;")</f>
        <v/>
      </c>
      <c r="AO25" s="35">
        <f>IF(ISBLANK(AQ25),"","&lt;/b&gt;&lt;br&gt;&lt;br&gt;")</f>
        <v/>
      </c>
      <c r="AP25" s="42">
        <f>IF(ISBLANK(AQ25),"","&lt;b&gt;")</f>
        <v/>
      </c>
      <c r="AQ25" s="47" t="inlineStr">
        <is>
          <t xml:space="preserve">Agency Reduction Plan:&lt;br&gt;Additional </t>
        </is>
      </c>
      <c r="AR25" s="42" t="n">
        <v>2</v>
      </c>
      <c r="AS25" s="4">
        <f>IF(ISBLANK(AR25),""," %")</f>
        <v/>
      </c>
      <c r="AT25" s="4">
        <f t="array" ref="AT25">_xlfn.IFS(NOT(ISBLANK(AU25))," (pgs. ",NOT(ISBLANK(AS25))," (pg. ", ISBLANK(AS25), "")</f>
        <v/>
      </c>
      <c r="AU25" s="52" t="inlineStr">
        <is>
          <t>NA</t>
        </is>
      </c>
      <c r="AV25" s="4">
        <f>IF(ISBLANK(AW25),"",", ")</f>
        <v/>
      </c>
      <c r="AW25" s="42" t="n"/>
      <c r="AX25" s="4">
        <f>IF(ISBLANK(AY25),"",",&lt;br&gt;")</f>
        <v/>
      </c>
      <c r="AY25" s="42" t="n"/>
      <c r="AZ25" s="49">
        <f>IF(ISBLANK(AU25),"",")&lt;/b&gt;")</f>
        <v/>
      </c>
      <c r="BA25" s="4">
        <f>IF(ISBLANK(BC25),"","&lt;br&gt;")</f>
        <v/>
      </c>
      <c r="BB25" s="42">
        <f t="array" ref="BB25">IF(ISBLANK(BC25),"",_xlfn.LET(
_xlpm.words,_xlfn.TEXTSPLIT(TRIM(BC25),"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5" s="50" t="n"/>
    </row>
    <row r="26">
      <c r="A26" s="20">
        <f>_xlfn.TEXTJOIN("", TRUE, F26:H26)</f>
        <v/>
      </c>
      <c r="B26" s="21">
        <f>_xlfn.TEXTJOIN("", TRUE, I26:S26)</f>
        <v/>
      </c>
      <c r="C26" s="21">
        <f>IF(ISBLANK(X26),"", _xlfn.TEXTJOIN("",TRUE,T26:Z26))</f>
        <v/>
      </c>
      <c r="D26" s="21">
        <f>IF(ISBLANK(AB26), "", _xlfn.TEXTJOIN("", TRUE, AA26:AC26))</f>
        <v/>
      </c>
      <c r="E26" s="22">
        <f>IF(AU26="NA", _xlfn.TEXTJOIN("", TRUE, AD26:AH26), _xlfn.TEXTJOIN("", TRUE, AD26:AJ26))</f>
        <v/>
      </c>
      <c r="F26" s="42">
        <f>IF(LEFT(G26,4)="FY26","&lt;b&gt;","&lt;i&gt;")</f>
        <v/>
      </c>
      <c r="G26" s="42" t="inlineStr">
        <is>
          <t>FY26 Reduction</t>
        </is>
      </c>
      <c r="H26" s="42">
        <f>IF(LEFT(G26,4)="FY26","&lt;/b&gt;","&lt;/i&gt;")</f>
        <v/>
      </c>
      <c r="I26" s="43" t="inlineStr">
        <is>
          <t>&lt;i&gt;</t>
        </is>
      </c>
      <c r="J26" s="44" t="inlineStr">
        <is>
          <t>Constitutional Officers</t>
        </is>
      </c>
      <c r="K26" s="44" t="inlineStr">
        <is>
          <t>&lt;/i&gt;</t>
        </is>
      </c>
      <c r="L26" s="4">
        <f>IF(ISBLANK(N26),"","&lt;br&gt;")</f>
        <v/>
      </c>
      <c r="M26" s="42">
        <f>IF(ISBLANK(R26),"&lt;b&gt;","&lt;i&gt;")</f>
        <v/>
      </c>
      <c r="N26" s="42" t="inlineStr">
        <is>
          <t>Attorney General</t>
        </is>
      </c>
      <c r="O26" s="42">
        <f>IF(ISBLANK(R26),"&lt;/b&gt;","&lt;/i&gt;")</f>
        <v/>
      </c>
      <c r="P26" s="4">
        <f>IF(ISBLANK(R26),"","&lt;br&gt;")</f>
        <v/>
      </c>
      <c r="Q26" s="42">
        <f>IF(ISBLANK(R26),"","&lt;b&gt;")</f>
        <v/>
      </c>
      <c r="R26" s="42" t="n"/>
      <c r="S26" s="42">
        <f>IF(ISBLANK(R26),"","&lt;/i&gt;")</f>
        <v/>
      </c>
      <c r="T26" s="43">
        <f>IF(ISBLANK(X26),"",IF(OR(AB26="PASSED",ISBLANK(N26)),"&lt;b&gt;","&lt;i&gt;"))</f>
        <v/>
      </c>
      <c r="U26" s="3">
        <f>IF(ISBLANK(V26),"","&lt;a href='")</f>
        <v/>
      </c>
      <c r="V26" s="39" t="inlineStr">
        <is>
          <t>https://legislature.idaho.gov/sessioninfo/2026/legislation/S1331/</t>
        </is>
      </c>
      <c r="W26" s="17">
        <f>IF(ISBLANK(V26),"","'&gt;")</f>
        <v/>
      </c>
      <c r="X26" s="12" t="inlineStr">
        <is>
          <t>Senate Bill 1331</t>
        </is>
      </c>
      <c r="Y26" s="17">
        <f>IF(ISBLANK(X26),"","&lt;/a&gt;")</f>
        <v/>
      </c>
      <c r="Z26" s="42">
        <f>IF(ISBLANK(X26),"",IF(OR(AB26="PASSED",ISBLANK(N26)),"&lt;/b&gt;","&lt;/i&gt;"))</f>
        <v/>
      </c>
      <c r="AA26" s="43">
        <f>IF(AB26="PASSED","&lt;b&gt;","")</f>
        <v/>
      </c>
      <c r="AB26" s="45" t="inlineStr">
        <is>
          <t>PASSED</t>
        </is>
      </c>
      <c r="AC26" s="43">
        <f>IF(AB26="PASSED","&lt;/b&gt;","")</f>
        <v/>
      </c>
      <c r="AD26" s="43">
        <f>IF(ISBLANK(AE26),"","&lt;b&gt;")</f>
        <v/>
      </c>
      <c r="AE26" s="51" t="inlineStr">
        <is>
          <t>03/06</t>
        </is>
      </c>
      <c r="AF26" s="42">
        <f>IF(ISBLANK(AE26),"",": ")</f>
        <v/>
      </c>
      <c r="AG26" s="42" t="inlineStr">
        <is>
          <t>House Vote 48-22</t>
        </is>
      </c>
      <c r="AH26" s="42">
        <f>IF(ISBLANK(AE26),"","&lt;/b&gt;")</f>
        <v/>
      </c>
      <c r="AI26" s="42" t="inlineStr">
        <is>
          <t>03/02: Senate Vote 18-17&lt;br&gt;02/06: FY26 holdback (-4%)</t>
        </is>
      </c>
      <c r="AJ26" s="42">
        <f>IF(ISBLANK(AI26),"","&lt;br&gt;"&amp;AI26)</f>
        <v/>
      </c>
      <c r="AK26" s="4" t="inlineStr">
        <is>
          <t>&lt;br&gt;</t>
        </is>
      </c>
      <c r="AL26" s="42" t="inlineStr">
        <is>
          <t>&lt;b&gt;&lt;i&gt;</t>
        </is>
      </c>
      <c r="AM26" s="42" t="inlineStr">
        <is>
          <t>Governor's 3% + JFAC's 1%</t>
        </is>
      </c>
      <c r="AN26" s="42">
        <f>IF(ISBLANK(AM26),"","&lt;/i&gt;")</f>
        <v/>
      </c>
      <c r="AO26" s="35">
        <f>IF(ISBLANK(AQ26),"","&lt;/b&gt;&lt;br&gt;&lt;br&gt;")</f>
        <v/>
      </c>
      <c r="AP26" s="42">
        <f>IF(ISBLANK(AQ26),"","&lt;b&gt;")</f>
        <v/>
      </c>
      <c r="AQ26" s="47" t="inlineStr">
        <is>
          <t xml:space="preserve">Agency Reduction Plan:&lt;br&gt;Additional </t>
        </is>
      </c>
      <c r="AR26" s="42" t="inlineStr">
        <is>
          <t>1</t>
        </is>
      </c>
      <c r="AS26" s="4">
        <f>IF(ISBLANK(AR26),""," %")</f>
        <v/>
      </c>
      <c r="AT26" s="4">
        <f t="array" ref="AT26">_xlfn.IFS(NOT(ISBLANK(AU26))," (pgs. ",NOT(ISBLANK(AS26))," (pg. ", ISBLANK(AS26), "")</f>
        <v/>
      </c>
      <c r="AU26" s="52" t="n">
        <v>194</v>
      </c>
      <c r="AV26" s="4">
        <f>IF(ISBLANK(AW26),"",", ")</f>
        <v/>
      </c>
      <c r="AW26" s="42" t="n"/>
      <c r="AX26" s="4">
        <f>IF(ISBLANK(AY26),"",",&lt;br&gt;")</f>
        <v/>
      </c>
      <c r="AY26" s="42" t="n"/>
      <c r="AZ26" s="49">
        <f>IF(ISBLANK(AU26),"",")&lt;/b&gt;")</f>
        <v/>
      </c>
      <c r="BA26" s="4">
        <f>IF(ISBLANK(BC26),"","&lt;br&gt;")</f>
        <v/>
      </c>
      <c r="BB26" s="42">
        <f t="array" ref="BB26">IF(ISBLANK(BC26),"",_xlfn.LET(
_xlpm.words,_xlfn.TEXTSPLIT(TRIM(BC26),"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6" s="50" t="inlineStr">
        <is>
          <t>Additional cuts of this magnitude will require furloughs or workforce reductions. That means less capacity to handle the active litigation defending state laws, fewer attorneys available to recover funds for taxpayers, and reduced staffing for critical programs like ICAC. Budget deductions will potentially result in lost work days, greatly disadvantaging the Office, and consequently negatively impacting Idaho citizens. An additional 1% reduction, equivalent to an overall 4% decrease, of $1,306,600 would mean 11 furlough days impacting our 227 FTP.</t>
        </is>
      </c>
    </row>
    <row r="27">
      <c r="A27" s="20">
        <f>_xlfn.TEXTJOIN("", TRUE, F27:H27)</f>
        <v/>
      </c>
      <c r="B27" s="21">
        <f>_xlfn.TEXTJOIN("", TRUE, I27:S27)</f>
        <v/>
      </c>
      <c r="C27" s="21">
        <f>IF(ISBLANK(X27),"", _xlfn.TEXTJOIN("",TRUE,T27:Z27))</f>
        <v/>
      </c>
      <c r="D27" s="21">
        <f>IF(ISBLANK(AB27), "", _xlfn.TEXTJOIN("", TRUE, AA27:AC27))</f>
        <v/>
      </c>
      <c r="E27" s="22">
        <f>IF(AU27="NA", _xlfn.TEXTJOIN("", TRUE, AD27:AH27), _xlfn.TEXTJOIN("", TRUE, AD27:AJ27))</f>
        <v/>
      </c>
      <c r="F27" s="42">
        <f>IF(LEFT(G27,4)="FY26","&lt;b&gt;","&lt;i&gt;")</f>
        <v/>
      </c>
      <c r="G27" s="42" t="inlineStr">
        <is>
          <t>FY26 Reduction</t>
        </is>
      </c>
      <c r="H27" s="42">
        <f>IF(LEFT(G27,4)="FY26","&lt;/b&gt;","&lt;/i&gt;")</f>
        <v/>
      </c>
      <c r="I27" s="43" t="inlineStr">
        <is>
          <t>&lt;i&gt;</t>
        </is>
      </c>
      <c r="J27" s="44" t="inlineStr">
        <is>
          <t>Constitutional Officers</t>
        </is>
      </c>
      <c r="K27" s="44" t="inlineStr">
        <is>
          <t>&lt;/i&gt;</t>
        </is>
      </c>
      <c r="L27" s="4">
        <f>IF(ISBLANK(N27),"","&lt;br&gt;")</f>
        <v/>
      </c>
      <c r="M27" s="42">
        <f>IF(ISBLANK(R27),"&lt;b&gt;","&lt;i&gt;")</f>
        <v/>
      </c>
      <c r="N27" s="42" t="inlineStr">
        <is>
          <t>Governor</t>
        </is>
      </c>
      <c r="O27" s="42">
        <f>IF(ISBLANK(R27),"&lt;/b&gt;","&lt;/i&gt;")</f>
        <v/>
      </c>
      <c r="P27" s="4">
        <f>IF(ISBLANK(R27),"","&lt;br&gt;")</f>
        <v/>
      </c>
      <c r="Q27" s="42">
        <f>IF(ISBLANK(R27),"","&lt;b&gt;")</f>
        <v/>
      </c>
      <c r="R27" s="42" t="n"/>
      <c r="S27" s="42">
        <f>IF(ISBLANK(R27),"","&lt;/i&gt;")</f>
        <v/>
      </c>
      <c r="T27" s="43">
        <f>IF(ISBLANK(X27),"",IF(OR(AB27="PASSED",ISBLANK(N27)),"&lt;b&gt;","&lt;i&gt;"))</f>
        <v/>
      </c>
      <c r="U27" s="3">
        <f>IF(ISBLANK(V27),"","&lt;a href='")</f>
        <v/>
      </c>
      <c r="V27" s="39" t="inlineStr">
        <is>
          <t>https://legislature.idaho.gov/sessioninfo/2026/legislation/S1331/</t>
        </is>
      </c>
      <c r="W27" s="17">
        <f>IF(ISBLANK(V27),"","'&gt;")</f>
        <v/>
      </c>
      <c r="X27" s="12" t="inlineStr">
        <is>
          <t>Senate Bill 1331</t>
        </is>
      </c>
      <c r="Y27" s="17">
        <f>IF(ISBLANK(X27),"","&lt;/a&gt;")</f>
        <v/>
      </c>
      <c r="Z27" s="42">
        <f>IF(ISBLANK(X27),"",IF(OR(AB27="PASSED",ISBLANK(N27)),"&lt;/b&gt;","&lt;/i&gt;"))</f>
        <v/>
      </c>
      <c r="AA27" s="43">
        <f>IF(AB27="PASSED","&lt;b&gt;","")</f>
        <v/>
      </c>
      <c r="AB27" s="45" t="inlineStr">
        <is>
          <t>PASSED</t>
        </is>
      </c>
      <c r="AC27" s="43">
        <f>IF(AB27="PASSED","&lt;/b&gt;","")</f>
        <v/>
      </c>
      <c r="AD27" s="43">
        <f>IF(ISBLANK(AE27),"","&lt;b&gt;")</f>
        <v/>
      </c>
      <c r="AE27" s="51" t="inlineStr">
        <is>
          <t>03/06</t>
        </is>
      </c>
      <c r="AF27" s="42">
        <f>IF(ISBLANK(AE27),"",": ")</f>
        <v/>
      </c>
      <c r="AG27" s="42" t="inlineStr">
        <is>
          <t>House Vote 48-22</t>
        </is>
      </c>
      <c r="AH27" s="42">
        <f>IF(ISBLANK(AE27),"","&lt;/b&gt;")</f>
        <v/>
      </c>
      <c r="AI27" s="42" t="inlineStr">
        <is>
          <t>03/02: Senate Vote 18-17&lt;br&gt;02/06: FY26 holdback (-4%)</t>
        </is>
      </c>
      <c r="AJ27" s="42">
        <f>IF(ISBLANK(AI27),"","&lt;br&gt;"&amp;AI27)</f>
        <v/>
      </c>
      <c r="AK27" s="4" t="inlineStr">
        <is>
          <t>&lt;br&gt;</t>
        </is>
      </c>
      <c r="AL27" s="42" t="inlineStr">
        <is>
          <t>&lt;b&gt;&lt;i&gt;</t>
        </is>
      </c>
      <c r="AM27" s="42" t="inlineStr">
        <is>
          <t>Governor's 3% + JFAC's 1%</t>
        </is>
      </c>
      <c r="AN27" s="42">
        <f>IF(ISBLANK(AM27),"","&lt;/i&gt;")</f>
        <v/>
      </c>
      <c r="AO27" s="35">
        <f>IF(ISBLANK(AQ27),"","&lt;/b&gt;&lt;br&gt;&lt;br&gt;")</f>
        <v/>
      </c>
      <c r="AP27" s="42">
        <f>IF(ISBLANK(AQ27),"","&lt;b&gt;")</f>
        <v/>
      </c>
      <c r="AQ27" s="47" t="inlineStr">
        <is>
          <t xml:space="preserve">Agency Reduction Plan:&lt;br&gt;Additional </t>
        </is>
      </c>
      <c r="AR27" s="42" t="inlineStr">
        <is>
          <t>1</t>
        </is>
      </c>
      <c r="AS27" s="4">
        <f>IF(ISBLANK(AR27),""," %")</f>
        <v/>
      </c>
      <c r="AT27" s="4">
        <f t="array" ref="AT27">_xlfn.IFS(NOT(ISBLANK(AU27))," (pgs. ",NOT(ISBLANK(AS27))," (pg. ", ISBLANK(AS27), "")</f>
        <v/>
      </c>
      <c r="AU27" s="52" t="n">
        <v>211</v>
      </c>
      <c r="AV27" s="4">
        <f>IF(ISBLANK(AW27),"",", ")</f>
        <v/>
      </c>
      <c r="AW27" s="42" t="n"/>
      <c r="AX27" s="4">
        <f>IF(ISBLANK(AY27),"",",&lt;br&gt;")</f>
        <v/>
      </c>
      <c r="AY27" s="42" t="n"/>
      <c r="AZ27" s="49">
        <f>IF(ISBLANK(AU27),"",")&lt;/b&gt;")</f>
        <v/>
      </c>
      <c r="BA27" s="4">
        <f>IF(ISBLANK(BC27),"","&lt;br&gt;")</f>
        <v/>
      </c>
      <c r="BB27" s="42">
        <f t="array" ref="BB27">IF(ISBLANK(BC27),"",_xlfn.LET(
_xlpm.words,_xlfn.TEXTSPLIT(TRIM(BC27),"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7" s="50" t="inlineStr">
        <is>
          <t>The Governor’s office has already reduced their personnel costs in the current budget recommendation. An additional 1% or 2% decrease would require the Governor’s office to lay off an existing staff member. 1% - $35K Revert Partial Constituent Services Agreement (keep a contingency amount for any potential cost overruns on the project)</t>
        </is>
      </c>
    </row>
    <row r="28">
      <c r="A28" s="20">
        <f>_xlfn.TEXTJOIN("", TRUE, F28:H28)</f>
        <v/>
      </c>
      <c r="B28" s="21">
        <f>_xlfn.TEXTJOIN("", TRUE, I28:S28)</f>
        <v/>
      </c>
      <c r="C28" s="21">
        <f>IF(ISBLANK(X28),"", _xlfn.TEXTJOIN("",TRUE,T28:Z28))</f>
        <v/>
      </c>
      <c r="D28" s="21">
        <f>IF(ISBLANK(AB28), "", _xlfn.TEXTJOIN("", TRUE, AA28:AC28))</f>
        <v/>
      </c>
      <c r="E28" s="22">
        <f>IF(AU28="NA", _xlfn.TEXTJOIN("", TRUE, AD28:AH28), _xlfn.TEXTJOIN("", TRUE, AD28:AJ28))</f>
        <v/>
      </c>
      <c r="F28" s="42">
        <f>IF(LEFT(G28,4)="FY26","&lt;b&gt;","&lt;i&gt;")</f>
        <v/>
      </c>
      <c r="G28" s="42" t="inlineStr">
        <is>
          <t>FY26 Reduction</t>
        </is>
      </c>
      <c r="H28" s="42">
        <f>IF(LEFT(G28,4)="FY26","&lt;/b&gt;","&lt;/i&gt;")</f>
        <v/>
      </c>
      <c r="I28" s="43" t="inlineStr">
        <is>
          <t>&lt;i&gt;</t>
        </is>
      </c>
      <c r="J28" s="44" t="inlineStr">
        <is>
          <t>Constitutional Officers</t>
        </is>
      </c>
      <c r="K28" s="44" t="inlineStr">
        <is>
          <t>&lt;/i&gt;</t>
        </is>
      </c>
      <c r="L28" s="4">
        <f>IF(ISBLANK(N28),"","&lt;br&gt;")</f>
        <v/>
      </c>
      <c r="M28" s="42">
        <f>IF(ISBLANK(R28),"&lt;b&gt;","&lt;i&gt;")</f>
        <v/>
      </c>
      <c r="N28" s="42" t="inlineStr">
        <is>
          <t>Lieutenant Governor</t>
        </is>
      </c>
      <c r="O28" s="42">
        <f>IF(ISBLANK(R28),"&lt;/b&gt;","&lt;/i&gt;")</f>
        <v/>
      </c>
      <c r="P28" s="4">
        <f>IF(ISBLANK(R28),"","&lt;br&gt;")</f>
        <v/>
      </c>
      <c r="Q28" s="42">
        <f>IF(ISBLANK(R28),"","&lt;b&gt;")</f>
        <v/>
      </c>
      <c r="R28" s="42" t="n"/>
      <c r="S28" s="42">
        <f>IF(ISBLANK(R28),"","&lt;/i&gt;")</f>
        <v/>
      </c>
      <c r="T28" s="43">
        <f>IF(ISBLANK(X28),"",IF(OR(AB28="PASSED",ISBLANK(N28)),"&lt;b&gt;","&lt;i&gt;"))</f>
        <v/>
      </c>
      <c r="U28" s="3">
        <f>IF(ISBLANK(V28),"","&lt;a href='")</f>
        <v/>
      </c>
      <c r="V28" s="39" t="inlineStr">
        <is>
          <t>https://legislature.idaho.gov/sessioninfo/2026/legislation/S1331/</t>
        </is>
      </c>
      <c r="W28" s="17">
        <f>IF(ISBLANK(V28),"","'&gt;")</f>
        <v/>
      </c>
      <c r="X28" s="12" t="inlineStr">
        <is>
          <t>Senate Bill 1331</t>
        </is>
      </c>
      <c r="Y28" s="17">
        <f>IF(ISBLANK(X28),"","&lt;/a&gt;")</f>
        <v/>
      </c>
      <c r="Z28" s="42">
        <f>IF(ISBLANK(X28),"",IF(OR(AB28="PASSED",ISBLANK(N28)),"&lt;/b&gt;","&lt;/i&gt;"))</f>
        <v/>
      </c>
      <c r="AA28" s="43">
        <f>IF(AB28="PASSED","&lt;b&gt;","")</f>
        <v/>
      </c>
      <c r="AB28" s="45" t="inlineStr">
        <is>
          <t>PASSED</t>
        </is>
      </c>
      <c r="AC28" s="43">
        <f>IF(AB28="PASSED","&lt;/b&gt;","")</f>
        <v/>
      </c>
      <c r="AD28" s="43">
        <f>IF(ISBLANK(AE28),"","&lt;b&gt;")</f>
        <v/>
      </c>
      <c r="AE28" s="51" t="inlineStr">
        <is>
          <t>03/06</t>
        </is>
      </c>
      <c r="AF28" s="42">
        <f>IF(ISBLANK(AE28),"",": ")</f>
        <v/>
      </c>
      <c r="AG28" s="42" t="inlineStr">
        <is>
          <t>House Vote 48-22</t>
        </is>
      </c>
      <c r="AH28" s="42">
        <f>IF(ISBLANK(AE28),"","&lt;/b&gt;")</f>
        <v/>
      </c>
      <c r="AI28" s="42" t="inlineStr">
        <is>
          <t>03/02: Senate Vote 18-17&lt;br&gt;02/06: FY26 holdback (-4%)</t>
        </is>
      </c>
      <c r="AJ28" s="42">
        <f>IF(ISBLANK(AI28),"","&lt;br&gt;"&amp;AI28)</f>
        <v/>
      </c>
      <c r="AK28" s="4" t="inlineStr">
        <is>
          <t>&lt;br&gt;</t>
        </is>
      </c>
      <c r="AL28" s="42" t="inlineStr">
        <is>
          <t>&lt;b&gt;&lt;i&gt;</t>
        </is>
      </c>
      <c r="AM28" s="42" t="inlineStr">
        <is>
          <t>Governor's 3% + JFAC's 1%</t>
        </is>
      </c>
      <c r="AN28" s="42">
        <f>IF(ISBLANK(AM28),"","&lt;/i&gt;")</f>
        <v/>
      </c>
      <c r="AO28" s="35">
        <f>IF(ISBLANK(AQ28),"","&lt;/b&gt;&lt;br&gt;&lt;br&gt;")</f>
        <v/>
      </c>
      <c r="AP28" s="42">
        <f>IF(ISBLANK(AQ28),"","&lt;b&gt;")</f>
        <v/>
      </c>
      <c r="AQ28" s="47" t="inlineStr">
        <is>
          <t xml:space="preserve">Agency Reduction Plan:&lt;br&gt;Additional </t>
        </is>
      </c>
      <c r="AR28" s="42" t="inlineStr">
        <is>
          <t>1</t>
        </is>
      </c>
      <c r="AS28" s="4">
        <f>IF(ISBLANK(AR28),""," %")</f>
        <v/>
      </c>
      <c r="AT28" s="4">
        <f t="array" ref="AT28">_xlfn.IFS(NOT(ISBLANK(AU28))," (pgs. ",NOT(ISBLANK(AS28))," (pg. ", ISBLANK(AS28), "")</f>
        <v/>
      </c>
      <c r="AU28" s="52" t="n">
        <v>223</v>
      </c>
      <c r="AV28" s="4">
        <f>IF(ISBLANK(AW28),"",", ")</f>
        <v/>
      </c>
      <c r="AW28" s="42" t="n"/>
      <c r="AX28" s="4">
        <f>IF(ISBLANK(AY28),"",",&lt;br&gt;")</f>
        <v/>
      </c>
      <c r="AY28" s="42" t="n"/>
      <c r="AZ28" s="49">
        <f>IF(ISBLANK(AU28),"",")&lt;/b&gt;")</f>
        <v/>
      </c>
      <c r="BA28" s="4">
        <f>IF(ISBLANK(BC28),"","&lt;br&gt;")</f>
        <v/>
      </c>
      <c r="BB28" s="42">
        <f t="array" ref="BB28">IF(ISBLANK(BC28),"",_xlfn.LET(
_xlpm.words,_xlfn.TEXTSPLIT(TRIM(BC28),"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8" s="50" t="inlineStr">
        <is>
          <t>The imposition of the additional 1% and 2% holdbacks would have a significant impact on this agency due to its extremely small size and limited operating budget. As a result, there are no excess funds or non-essential expenditures that could absorb these reductions. The only viable source to meet the holdback requirement would be personnel funding, any reduction in personnel funding would necessitate furloughs. The agency does not have the staffing redundancy necessary to redistribute duties without compromising performance or legal compliance.</t>
        </is>
      </c>
    </row>
    <row r="29">
      <c r="A29" s="20">
        <f>_xlfn.TEXTJOIN("", TRUE, F29:H29)</f>
        <v/>
      </c>
      <c r="B29" s="21">
        <f>_xlfn.TEXTJOIN("", TRUE, I29:S29)</f>
        <v/>
      </c>
      <c r="C29" s="21">
        <f>IF(ISBLANK(X29),"", _xlfn.TEXTJOIN("",TRUE,T29:Z29))</f>
        <v/>
      </c>
      <c r="D29" s="21">
        <f>IF(ISBLANK(AB29), "", _xlfn.TEXTJOIN("", TRUE, AA29:AC29))</f>
        <v/>
      </c>
      <c r="E29" s="22">
        <f>IF(AU29="NA", _xlfn.TEXTJOIN("", TRUE, AD29:AH29), _xlfn.TEXTJOIN("", TRUE, AD29:AJ29))</f>
        <v/>
      </c>
      <c r="F29" s="42">
        <f>IF(LEFT(G29,4)="FY26","&lt;b&gt;","&lt;i&gt;")</f>
        <v/>
      </c>
      <c r="G29" s="42" t="inlineStr">
        <is>
          <t>FY26 Reduction</t>
        </is>
      </c>
      <c r="H29" s="42">
        <f>IF(LEFT(G29,4)="FY26","&lt;/b&gt;","&lt;/i&gt;")</f>
        <v/>
      </c>
      <c r="I29" s="43" t="inlineStr">
        <is>
          <t>&lt;i&gt;</t>
        </is>
      </c>
      <c r="J29" s="44" t="inlineStr">
        <is>
          <t>Constitutional Officers</t>
        </is>
      </c>
      <c r="K29" s="44" t="inlineStr">
        <is>
          <t>&lt;/i&gt;</t>
        </is>
      </c>
      <c r="L29" s="4">
        <f>IF(ISBLANK(N29),"","&lt;br&gt;")</f>
        <v/>
      </c>
      <c r="M29" s="42">
        <f>IF(ISBLANK(R29),"&lt;b&gt;","&lt;i&gt;")</f>
        <v/>
      </c>
      <c r="N29" s="42" t="inlineStr">
        <is>
          <t>Secretary of State</t>
        </is>
      </c>
      <c r="O29" s="42">
        <f>IF(ISBLANK(R29),"&lt;/b&gt;","&lt;/i&gt;")</f>
        <v/>
      </c>
      <c r="P29" s="4">
        <f>IF(ISBLANK(R29),"","&lt;br&gt;")</f>
        <v/>
      </c>
      <c r="Q29" s="42">
        <f>IF(ISBLANK(R29),"","&lt;b&gt;")</f>
        <v/>
      </c>
      <c r="R29" s="42" t="n"/>
      <c r="S29" s="42">
        <f>IF(ISBLANK(R29),"","&lt;/i&gt;")</f>
        <v/>
      </c>
      <c r="T29" s="43">
        <f>IF(ISBLANK(X29),"",IF(OR(AB29="PASSED",ISBLANK(N29)),"&lt;b&gt;","&lt;i&gt;"))</f>
        <v/>
      </c>
      <c r="U29" s="3">
        <f>IF(ISBLANK(V29),"","&lt;a href='")</f>
        <v/>
      </c>
      <c r="V29" s="39" t="inlineStr">
        <is>
          <t>https://legislature.idaho.gov/sessioninfo/2026/legislation/S1331/</t>
        </is>
      </c>
      <c r="W29" s="17">
        <f>IF(ISBLANK(V29),"","'&gt;")</f>
        <v/>
      </c>
      <c r="X29" s="12" t="inlineStr">
        <is>
          <t>Senate Bill 1331</t>
        </is>
      </c>
      <c r="Y29" s="17">
        <f>IF(ISBLANK(X29),"","&lt;/a&gt;")</f>
        <v/>
      </c>
      <c r="Z29" s="42">
        <f>IF(ISBLANK(X29),"",IF(OR(AB29="PASSED",ISBLANK(N29)),"&lt;/b&gt;","&lt;/i&gt;"))</f>
        <v/>
      </c>
      <c r="AA29" s="43">
        <f>IF(AB29="PASSED","&lt;b&gt;","")</f>
        <v/>
      </c>
      <c r="AB29" s="45" t="inlineStr">
        <is>
          <t>PASSED</t>
        </is>
      </c>
      <c r="AC29" s="43">
        <f>IF(AB29="PASSED","&lt;/b&gt;","")</f>
        <v/>
      </c>
      <c r="AD29" s="43">
        <f>IF(ISBLANK(AE29),"","&lt;b&gt;")</f>
        <v/>
      </c>
      <c r="AE29" s="51" t="inlineStr">
        <is>
          <t>03/06</t>
        </is>
      </c>
      <c r="AF29" s="42">
        <f>IF(ISBLANK(AE29),"",": ")</f>
        <v/>
      </c>
      <c r="AG29" s="42" t="inlineStr">
        <is>
          <t>House Vote 48-22</t>
        </is>
      </c>
      <c r="AH29" s="42">
        <f>IF(ISBLANK(AE29),"","&lt;/b&gt;")</f>
        <v/>
      </c>
      <c r="AI29" s="42" t="inlineStr">
        <is>
          <t>03/02: Senate Vote 18-17&lt;br&gt;02/06: FY26 holdback (-4%)</t>
        </is>
      </c>
      <c r="AJ29" s="42">
        <f>IF(ISBLANK(AI29),"","&lt;br&gt;"&amp;AI29)</f>
        <v/>
      </c>
      <c r="AK29" s="4" t="inlineStr">
        <is>
          <t>&lt;br&gt;</t>
        </is>
      </c>
      <c r="AL29" s="42" t="inlineStr">
        <is>
          <t>&lt;b&gt;&lt;i&gt;</t>
        </is>
      </c>
      <c r="AM29" s="42" t="inlineStr">
        <is>
          <t>Secretary of State excluded &lt;br&gt;from holdback/reduction</t>
        </is>
      </c>
      <c r="AN29" s="42">
        <f>IF(ISBLANK(AM29),"","&lt;/i&gt;")</f>
        <v/>
      </c>
      <c r="AO29" s="35">
        <f>IF(ISBLANK(AQ29),"","&lt;/b&gt;&lt;br&gt;&lt;br&gt;")</f>
        <v/>
      </c>
      <c r="AP29" s="42">
        <f>IF(ISBLANK(AQ29),"","&lt;b&gt;")</f>
        <v/>
      </c>
      <c r="AQ29" s="47" t="inlineStr">
        <is>
          <t xml:space="preserve">Agency Reduction Plan:&lt;br&gt;Additional </t>
        </is>
      </c>
      <c r="AR29" s="42" t="inlineStr">
        <is>
          <t>1</t>
        </is>
      </c>
      <c r="AS29" s="4">
        <f>IF(ISBLANK(AR29),""," %")</f>
        <v/>
      </c>
      <c r="AT29" s="4">
        <f t="array" ref="AT29">_xlfn.IFS(NOT(ISBLANK(AU29))," (pgs. ",NOT(ISBLANK(AS29))," (pg. ", ISBLANK(AS29), "")</f>
        <v/>
      </c>
      <c r="AU29" s="52" t="n">
        <v>238</v>
      </c>
      <c r="AV29" s="4">
        <f>IF(ISBLANK(AW29),"",", ")</f>
        <v/>
      </c>
      <c r="AW29" s="42" t="n"/>
      <c r="AX29" s="4">
        <f>IF(ISBLANK(AY29),"",",&lt;br&gt;")</f>
        <v/>
      </c>
      <c r="AY29" s="42" t="n"/>
      <c r="AZ29" s="49">
        <f>IF(ISBLANK(AU29),"",")&lt;/b&gt;")</f>
        <v/>
      </c>
      <c r="BA29" s="4">
        <f>IF(ISBLANK(BC29),"","&lt;br&gt;")</f>
        <v/>
      </c>
      <c r="BB29" s="42">
        <f t="array" ref="BB29">IF(ISBLANK(BC29),"",_xlfn.LET(
_xlpm.words,_xlfn.TEXTSPLIT(TRIM(BC29),"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9" s="50" t="inlineStr">
        <is>
          <t>In my first budget as Secretary of State, the Legislature appropriated $10 million in onetime funding to modernize Idaho’s election technology. Through a careful review of how these systems are hosted and managed, we identified an opportunity to reduce long-term costs by transitioning hosting responsibilities to vendors. As a result, we have identified a total of $850,000 in one-time, FY26 funds we can revert back from the original appropriation while fully funding these systems for the originally proposed five years. This represents approximately 15 percent of the Secretary of State’s base budget and exceeds the combined FY26 and FY27 dollar value of the requested reductions, allowing us to contribute meaningfully to addressing the budget shortfall without creating operational risk.</t>
        </is>
      </c>
    </row>
    <row r="30">
      <c r="A30" s="20">
        <f>_xlfn.TEXTJOIN("", TRUE, F30:H30)</f>
        <v/>
      </c>
      <c r="B30" s="21">
        <f>_xlfn.TEXTJOIN("", TRUE, I30:S30)</f>
        <v/>
      </c>
      <c r="C30" s="21">
        <f>IF(ISBLANK(X30),"", _xlfn.TEXTJOIN("",TRUE,T30:Z30))</f>
        <v/>
      </c>
      <c r="D30" s="21">
        <f>IF(ISBLANK(AB30), "", _xlfn.TEXTJOIN("", TRUE, AA30:AC30))</f>
        <v/>
      </c>
      <c r="E30" s="22">
        <f>IF(AU30="NA", _xlfn.TEXTJOIN("", TRUE, AD30:AH30), _xlfn.TEXTJOIN("", TRUE, AD30:AJ30))</f>
        <v/>
      </c>
      <c r="F30" s="42">
        <f>IF(LEFT(G30,4)="FY26","&lt;b&gt;","&lt;i&gt;")</f>
        <v/>
      </c>
      <c r="G30" s="42" t="inlineStr">
        <is>
          <t>FY26 Reduction</t>
        </is>
      </c>
      <c r="H30" s="42">
        <f>IF(LEFT(G30,4)="FY26","&lt;/b&gt;","&lt;/i&gt;")</f>
        <v/>
      </c>
      <c r="I30" s="43" t="inlineStr">
        <is>
          <t>&lt;i&gt;</t>
        </is>
      </c>
      <c r="J30" s="44" t="inlineStr">
        <is>
          <t>Constitutional Officers</t>
        </is>
      </c>
      <c r="K30" s="44" t="inlineStr">
        <is>
          <t>&lt;/i&gt;</t>
        </is>
      </c>
      <c r="L30" s="4">
        <f>IF(ISBLANK(N30),"","&lt;br&gt;")</f>
        <v/>
      </c>
      <c r="M30" s="42">
        <f>IF(ISBLANK(R30),"&lt;b&gt;","&lt;i&gt;")</f>
        <v/>
      </c>
      <c r="N30" s="42" t="inlineStr">
        <is>
          <t>State Controller</t>
        </is>
      </c>
      <c r="O30" s="42">
        <f>IF(ISBLANK(R30),"&lt;/b&gt;","&lt;/i&gt;")</f>
        <v/>
      </c>
      <c r="P30" s="4">
        <f>IF(ISBLANK(R30),"","&lt;br&gt;")</f>
        <v/>
      </c>
      <c r="Q30" s="42">
        <f>IF(ISBLANK(R30),"","&lt;b&gt;")</f>
        <v/>
      </c>
      <c r="R30" s="42" t="n"/>
      <c r="S30" s="42">
        <f>IF(ISBLANK(R30),"","&lt;/i&gt;")</f>
        <v/>
      </c>
      <c r="T30" s="43">
        <f>IF(ISBLANK(X30),"",IF(OR(AB30="PASSED",ISBLANK(N30)),"&lt;b&gt;","&lt;i&gt;"))</f>
        <v/>
      </c>
      <c r="U30" s="3">
        <f>IF(ISBLANK(V30),"","&lt;a href='")</f>
        <v/>
      </c>
      <c r="V30" s="39" t="inlineStr">
        <is>
          <t>https://legislature.idaho.gov/sessioninfo/2026/legislation/S1331/</t>
        </is>
      </c>
      <c r="W30" s="17">
        <f>IF(ISBLANK(V30),"","'&gt;")</f>
        <v/>
      </c>
      <c r="X30" s="12" t="inlineStr">
        <is>
          <t>Senate Bill 1331</t>
        </is>
      </c>
      <c r="Y30" s="17">
        <f>IF(ISBLANK(X30),"","&lt;/a&gt;")</f>
        <v/>
      </c>
      <c r="Z30" s="42">
        <f>IF(ISBLANK(X30),"",IF(OR(AB30="PASSED",ISBLANK(N30)),"&lt;/b&gt;","&lt;/i&gt;"))</f>
        <v/>
      </c>
      <c r="AA30" s="43">
        <f>IF(AB30="PASSED","&lt;b&gt;","")</f>
        <v/>
      </c>
      <c r="AB30" s="45" t="inlineStr">
        <is>
          <t>PASSED</t>
        </is>
      </c>
      <c r="AC30" s="43">
        <f>IF(AB30="PASSED","&lt;/b&gt;","")</f>
        <v/>
      </c>
      <c r="AD30" s="43">
        <f>IF(ISBLANK(AE30),"","&lt;b&gt;")</f>
        <v/>
      </c>
      <c r="AE30" s="51" t="inlineStr">
        <is>
          <t>03/06</t>
        </is>
      </c>
      <c r="AF30" s="42">
        <f>IF(ISBLANK(AE30),"",": ")</f>
        <v/>
      </c>
      <c r="AG30" s="42" t="inlineStr">
        <is>
          <t>House Vote 48-22</t>
        </is>
      </c>
      <c r="AH30" s="42">
        <f>IF(ISBLANK(AE30),"","&lt;/b&gt;")</f>
        <v/>
      </c>
      <c r="AI30" s="42" t="inlineStr">
        <is>
          <t>03/02: Senate Vote 18-17&lt;br&gt;02/06: FY26 holdback (-4%)</t>
        </is>
      </c>
      <c r="AJ30" s="42">
        <f>IF(ISBLANK(AI30),"","&lt;br&gt;"&amp;AI30)</f>
        <v/>
      </c>
      <c r="AK30" s="4" t="inlineStr">
        <is>
          <t>&lt;br&gt;</t>
        </is>
      </c>
      <c r="AL30" s="42" t="inlineStr">
        <is>
          <t>&lt;b&gt;&lt;i&gt;</t>
        </is>
      </c>
      <c r="AM30" s="42" t="inlineStr">
        <is>
          <t>Governor's 3% + JFAC's 1%</t>
        </is>
      </c>
      <c r="AN30" s="42">
        <f>IF(ISBLANK(AM30),"","&lt;/i&gt;")</f>
        <v/>
      </c>
      <c r="AO30" s="35">
        <f>IF(ISBLANK(AQ30),"","&lt;/b&gt;&lt;br&gt;&lt;br&gt;")</f>
        <v/>
      </c>
      <c r="AP30" s="42">
        <f>IF(ISBLANK(AQ30),"","&lt;b&gt;")</f>
        <v/>
      </c>
      <c r="AQ30" s="47" t="inlineStr">
        <is>
          <t xml:space="preserve">Agency Reduction Plan:&lt;br&gt;Additional </t>
        </is>
      </c>
      <c r="AR30" s="42" t="inlineStr">
        <is>
          <t>1</t>
        </is>
      </c>
      <c r="AS30" s="4">
        <f>IF(ISBLANK(AR30),""," %")</f>
        <v/>
      </c>
      <c r="AT30" s="4">
        <f t="array" ref="AT30">_xlfn.IFS(NOT(ISBLANK(AU30))," (pgs. ",NOT(ISBLANK(AS30))," (pg. ", ISBLANK(AS30), "")</f>
        <v/>
      </c>
      <c r="AU30" s="52" t="n">
        <v>195</v>
      </c>
      <c r="AV30" s="4">
        <f>IF(ISBLANK(AW30),"",", ")</f>
        <v/>
      </c>
      <c r="AW30" s="42" t="n"/>
      <c r="AX30" s="4">
        <f>IF(ISBLANK(AY30),"",",&lt;br&gt;")</f>
        <v/>
      </c>
      <c r="AY30" s="42" t="n"/>
      <c r="AZ30" s="49">
        <f>IF(ISBLANK(AU30),"",")&lt;/b&gt;")</f>
        <v/>
      </c>
      <c r="BA30" s="4">
        <f>IF(ISBLANK(BC30),"","&lt;br&gt;")</f>
        <v/>
      </c>
      <c r="BB30" s="42">
        <f t="array" ref="BB30">IF(ISBLANK(BC30),"",_xlfn.LET(
_xlpm.words,_xlfn.TEXTSPLIT(TRIM(BC30),"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0" s="50" t="inlineStr">
        <is>
          <t>Local Government Reporting &amp; Transparency initiatives; State Annual Comprehensive Financial Report data compilation and reporting application; Statewide budget development application support; Luma agency support services contract</t>
        </is>
      </c>
    </row>
    <row r="31">
      <c r="A31" s="20">
        <f>_xlfn.TEXTJOIN("", TRUE, F31:H31)</f>
        <v/>
      </c>
      <c r="B31" s="21">
        <f>_xlfn.TEXTJOIN("", TRUE, I31:S31)</f>
        <v/>
      </c>
      <c r="C31" s="21">
        <f>IF(ISBLANK(X31),"", _xlfn.TEXTJOIN("",TRUE,T31:Z31))</f>
        <v/>
      </c>
      <c r="D31" s="21">
        <f>IF(ISBLANK(AB31), "", _xlfn.TEXTJOIN("", TRUE, AA31:AC31))</f>
        <v/>
      </c>
      <c r="E31" s="22">
        <f>IF(AU31="NA", _xlfn.TEXTJOIN("", TRUE, AD31:AH31), _xlfn.TEXTJOIN("", TRUE, AD31:AJ31))</f>
        <v/>
      </c>
      <c r="F31" s="42">
        <f>IF(LEFT(G31,4)="FY26","&lt;b&gt;","&lt;i&gt;")</f>
        <v/>
      </c>
      <c r="G31" s="42" t="inlineStr">
        <is>
          <t>FY26 Reduction</t>
        </is>
      </c>
      <c r="H31" s="42">
        <f>IF(LEFT(G31,4)="FY26","&lt;/b&gt;","&lt;/i&gt;")</f>
        <v/>
      </c>
      <c r="I31" s="43" t="inlineStr">
        <is>
          <t>&lt;i&gt;</t>
        </is>
      </c>
      <c r="J31" s="44" t="inlineStr">
        <is>
          <t>Constitutional Officers</t>
        </is>
      </c>
      <c r="K31" s="44" t="inlineStr">
        <is>
          <t>&lt;/i&gt;</t>
        </is>
      </c>
      <c r="L31" s="4">
        <f>IF(ISBLANK(N31),"","&lt;br&gt;")</f>
        <v/>
      </c>
      <c r="M31" s="42">
        <f>IF(ISBLANK(R31),"&lt;b&gt;","&lt;i&gt;")</f>
        <v/>
      </c>
      <c r="N31" s="42" t="inlineStr">
        <is>
          <t>State Treasurer</t>
        </is>
      </c>
      <c r="O31" s="42">
        <f>IF(ISBLANK(R31),"&lt;/b&gt;","&lt;/i&gt;")</f>
        <v/>
      </c>
      <c r="P31" s="4">
        <f>IF(ISBLANK(R31),"","&lt;br&gt;")</f>
        <v/>
      </c>
      <c r="Q31" s="42">
        <f>IF(ISBLANK(R31),"","&lt;b&gt;")</f>
        <v/>
      </c>
      <c r="R31" s="42" t="n"/>
      <c r="S31" s="42">
        <f>IF(ISBLANK(R31),"","&lt;/i&gt;")</f>
        <v/>
      </c>
      <c r="T31" s="43">
        <f>IF(ISBLANK(X31),"",IF(OR(AB31="PASSED",ISBLANK(N31)),"&lt;b&gt;","&lt;i&gt;"))</f>
        <v/>
      </c>
      <c r="U31" s="3">
        <f>IF(ISBLANK(V31),"","&lt;a href='")</f>
        <v/>
      </c>
      <c r="V31" s="39" t="inlineStr">
        <is>
          <t>https://legislature.idaho.gov/sessioninfo/2026/legislation/S1331/</t>
        </is>
      </c>
      <c r="W31" s="17">
        <f>IF(ISBLANK(V31),"","'&gt;")</f>
        <v/>
      </c>
      <c r="X31" s="12" t="inlineStr">
        <is>
          <t>Senate Bill 1331</t>
        </is>
      </c>
      <c r="Y31" s="17">
        <f>IF(ISBLANK(X31),"","&lt;/a&gt;")</f>
        <v/>
      </c>
      <c r="Z31" s="42">
        <f>IF(ISBLANK(X31),"",IF(OR(AB31="PASSED",ISBLANK(N31)),"&lt;/b&gt;","&lt;/i&gt;"))</f>
        <v/>
      </c>
      <c r="AA31" s="43">
        <f>IF(AB31="PASSED","&lt;b&gt;","")</f>
        <v/>
      </c>
      <c r="AB31" s="45" t="inlineStr">
        <is>
          <t>PASSED</t>
        </is>
      </c>
      <c r="AC31" s="43">
        <f>IF(AB31="PASSED","&lt;/b&gt;","")</f>
        <v/>
      </c>
      <c r="AD31" s="43">
        <f>IF(ISBLANK(AE31),"","&lt;b&gt;")</f>
        <v/>
      </c>
      <c r="AE31" s="51" t="inlineStr">
        <is>
          <t>03/06</t>
        </is>
      </c>
      <c r="AF31" s="42">
        <f>IF(ISBLANK(AE31),"",": ")</f>
        <v/>
      </c>
      <c r="AG31" s="42" t="inlineStr">
        <is>
          <t>House Vote 48-22</t>
        </is>
      </c>
      <c r="AH31" s="42">
        <f>IF(ISBLANK(AE31),"","&lt;/b&gt;")</f>
        <v/>
      </c>
      <c r="AI31" s="42" t="inlineStr">
        <is>
          <t>03/02: Senate Vote 18-17&lt;br&gt;02/06: FY26 holdback (-4%)</t>
        </is>
      </c>
      <c r="AJ31" s="42">
        <f>IF(ISBLANK(AI31),"","&lt;br&gt;"&amp;AI31)</f>
        <v/>
      </c>
      <c r="AK31" s="4" t="inlineStr">
        <is>
          <t>&lt;br&gt;</t>
        </is>
      </c>
      <c r="AL31" s="42" t="inlineStr">
        <is>
          <t>&lt;b&gt;&lt;i&gt;</t>
        </is>
      </c>
      <c r="AM31" s="42" t="inlineStr">
        <is>
          <t>Governor's 3% + JFAC's 1%</t>
        </is>
      </c>
      <c r="AN31" s="42">
        <f>IF(ISBLANK(AM31),"","&lt;/i&gt;")</f>
        <v/>
      </c>
      <c r="AO31" s="35">
        <f>IF(ISBLANK(AQ31),"","&lt;/b&gt;&lt;br&gt;&lt;br&gt;")</f>
        <v/>
      </c>
      <c r="AP31" s="42">
        <f>IF(ISBLANK(AQ31),"","&lt;b&gt;")</f>
        <v/>
      </c>
      <c r="AQ31" s="47" t="inlineStr">
        <is>
          <t xml:space="preserve">Agency Reduction Plan:&lt;br&gt;Additional </t>
        </is>
      </c>
      <c r="AR31" s="42" t="inlineStr">
        <is>
          <t>1</t>
        </is>
      </c>
      <c r="AS31" s="4">
        <f>IF(ISBLANK(AR31),""," %")</f>
        <v/>
      </c>
      <c r="AT31" s="4">
        <f t="array" ref="AT31">_xlfn.IFS(NOT(ISBLANK(AU31))," (pgs. ",NOT(ISBLANK(AS31))," (pg. ", ISBLANK(AS31), "")</f>
        <v/>
      </c>
      <c r="AU31" s="52" t="n">
        <v>240</v>
      </c>
      <c r="AV31" s="4">
        <f>IF(ISBLANK(AW31),"",", ")</f>
        <v/>
      </c>
      <c r="AW31" s="42" t="n"/>
      <c r="AX31" s="4">
        <f>IF(ISBLANK(AY31),"",",&lt;br&gt;")</f>
        <v/>
      </c>
      <c r="AY31" s="42" t="n"/>
      <c r="AZ31" s="49">
        <f>IF(ISBLANK(AU31),"",")&lt;/b&gt;")</f>
        <v/>
      </c>
      <c r="BA31" s="4">
        <f>IF(ISBLANK(BC31),"","&lt;br&gt;")</f>
        <v/>
      </c>
      <c r="BB31" s="42">
        <f t="array" ref="BB31">IF(ISBLANK(BC31),"",_xlfn.LET(
_xlpm.words,_xlfn.TEXTSPLIT(TRIM(BC31),"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1" s="50" t="inlineStr">
        <is>
          <t>No formal reductions in force or furloughs. Potential for shortage in operational funds for bank services. Reduced training for staff.</t>
        </is>
      </c>
    </row>
    <row r="32">
      <c r="A32" s="20">
        <f>_xlfn.TEXTJOIN("", TRUE, F32:H32)</f>
        <v/>
      </c>
      <c r="B32" s="21">
        <f>_xlfn.TEXTJOIN("", TRUE, I32:S32)</f>
        <v/>
      </c>
      <c r="C32" s="21">
        <f>IF(ISBLANK(X32),"", _xlfn.TEXTJOIN("",TRUE,T32:Z32))</f>
        <v/>
      </c>
      <c r="D32" s="21">
        <f>IF(ISBLANK(AB32), "", _xlfn.TEXTJOIN("", TRUE, AA32:AC32))</f>
        <v/>
      </c>
      <c r="E32" s="22">
        <f>IF(AU32="NA", _xlfn.TEXTJOIN("", TRUE, AD32:AH32), _xlfn.TEXTJOIN("", TRUE, AD32:AJ32))</f>
        <v/>
      </c>
      <c r="F32" s="42">
        <f>IF(LEFT(G32,4)="FY26","&lt;b&gt;","&lt;i&gt;")</f>
        <v/>
      </c>
      <c r="G32" s="42" t="inlineStr">
        <is>
          <t>FY26 Reduction</t>
        </is>
      </c>
      <c r="H32" s="42">
        <f>IF(LEFT(G32,4)="FY26","&lt;/b&gt;","&lt;/i&gt;")</f>
        <v/>
      </c>
      <c r="I32" s="43" t="inlineStr">
        <is>
          <t>&lt;i&gt;</t>
        </is>
      </c>
      <c r="J32" s="44" t="inlineStr">
        <is>
          <t>Constitutional Officers</t>
        </is>
      </c>
      <c r="K32" s="44" t="inlineStr">
        <is>
          <t>&lt;/i&gt;</t>
        </is>
      </c>
      <c r="L32" s="4">
        <f>IF(ISBLANK(N32),"","&lt;br&gt;")</f>
        <v/>
      </c>
      <c r="M32" s="42">
        <f>IF(ISBLANK(R32),"&lt;b&gt;","&lt;i&gt;")</f>
        <v/>
      </c>
      <c r="N32" s="42" t="inlineStr">
        <is>
          <t>State Treasurer</t>
        </is>
      </c>
      <c r="O32" s="42">
        <f>IF(ISBLANK(R32),"&lt;/b&gt;","&lt;/i&gt;")</f>
        <v/>
      </c>
      <c r="P32" s="4">
        <f>IF(ISBLANK(R32),"","&lt;br&gt;")</f>
        <v/>
      </c>
      <c r="Q32" s="42">
        <f>IF(ISBLANK(R32),"","&lt;b&gt;")</f>
        <v/>
      </c>
      <c r="R32" s="42" t="inlineStr">
        <is>
          <t>Millennium Fund</t>
        </is>
      </c>
      <c r="S32" s="42">
        <f>IF(ISBLANK(R32),"","&lt;/i&gt;")</f>
        <v/>
      </c>
      <c r="T32" s="43">
        <f>IF(ISBLANK(X32),"",IF(OR(AB32="PASSED",ISBLANK(N32)),"&lt;b&gt;","&lt;i&gt;"))</f>
        <v/>
      </c>
      <c r="U32" s="3">
        <f>IF(ISBLANK(V32),"","&lt;a href='")</f>
        <v/>
      </c>
      <c r="V32" s="39" t="inlineStr">
        <is>
          <t>https://legislature.idaho.gov/sessioninfo/2026/legislation/S1331/</t>
        </is>
      </c>
      <c r="W32" s="17">
        <f>IF(ISBLANK(V32),"","'&gt;")</f>
        <v/>
      </c>
      <c r="X32" s="12" t="inlineStr">
        <is>
          <t>Senate Bill 1331</t>
        </is>
      </c>
      <c r="Y32" s="17">
        <f>IF(ISBLANK(X32),"","&lt;/a&gt;")</f>
        <v/>
      </c>
      <c r="Z32" s="42">
        <f>IF(ISBLANK(X32),"",IF(OR(AB32="PASSED",ISBLANK(N32)),"&lt;/b&gt;","&lt;/i&gt;"))</f>
        <v/>
      </c>
      <c r="AA32" s="43">
        <f>IF(AB32="PASSED","&lt;b&gt;","")</f>
        <v/>
      </c>
      <c r="AB32" s="45" t="inlineStr">
        <is>
          <t>PASSED</t>
        </is>
      </c>
      <c r="AC32" s="43">
        <f>IF(AB32="PASSED","&lt;/b&gt;","")</f>
        <v/>
      </c>
      <c r="AD32" s="43">
        <f>IF(ISBLANK(AE32),"","&lt;b&gt;")</f>
        <v/>
      </c>
      <c r="AE32" s="51" t="inlineStr">
        <is>
          <t>03/06</t>
        </is>
      </c>
      <c r="AF32" s="42">
        <f>IF(ISBLANK(AE32),"",": ")</f>
        <v/>
      </c>
      <c r="AG32" s="42" t="inlineStr">
        <is>
          <t>House Vote 48-22</t>
        </is>
      </c>
      <c r="AH32" s="42">
        <f>IF(ISBLANK(AE32),"","&lt;/b&gt;")</f>
        <v/>
      </c>
      <c r="AI32" s="42" t="inlineStr">
        <is>
          <t>03/02: Senate Vote 18-17&lt;br&gt;02/06: FY26 holdback (-4%)</t>
        </is>
      </c>
      <c r="AJ32" s="42">
        <f>IF(ISBLANK(AI32),"","&lt;br&gt;"&amp;AI32)</f>
        <v/>
      </c>
      <c r="AK32" s="4" t="inlineStr">
        <is>
          <t>&lt;br&gt;</t>
        </is>
      </c>
      <c r="AL32" s="42" t="inlineStr">
        <is>
          <t>&lt;b&gt;&lt;i&gt;</t>
        </is>
      </c>
      <c r="AM32" s="42" t="inlineStr">
        <is>
          <t>Governor's 3% + JFAC's 1%</t>
        </is>
      </c>
      <c r="AN32" s="42">
        <f>IF(ISBLANK(AM32),"","&lt;/i&gt;")</f>
        <v/>
      </c>
      <c r="AO32" s="35">
        <f>IF(ISBLANK(AQ32),"","&lt;/b&gt;&lt;br&gt;&lt;br&gt;")</f>
        <v/>
      </c>
      <c r="AP32" s="42">
        <f>IF(ISBLANK(AQ32),"","&lt;b&gt;")</f>
        <v/>
      </c>
      <c r="AQ32" s="47" t="inlineStr">
        <is>
          <t xml:space="preserve">Agency Reduction Plan:&lt;br&gt;Additional </t>
        </is>
      </c>
      <c r="AR32" s="42" t="inlineStr">
        <is>
          <t>1</t>
        </is>
      </c>
      <c r="AS32" s="4">
        <f>IF(ISBLANK(AR32),""," %")</f>
        <v/>
      </c>
      <c r="AT32" s="4">
        <f t="array" ref="AT32">_xlfn.IFS(NOT(ISBLANK(AU32))," (pgs. ",NOT(ISBLANK(AS32))," (pg. ", ISBLANK(AS32), "")</f>
        <v/>
      </c>
      <c r="AU32" s="52" t="inlineStr">
        <is>
          <t>NA</t>
        </is>
      </c>
      <c r="AV32" s="4">
        <f>IF(ISBLANK(AW32),"",", ")</f>
        <v/>
      </c>
      <c r="AW32" s="42" t="n"/>
      <c r="AX32" s="4">
        <f>IF(ISBLANK(AY32),"",",&lt;br&gt;")</f>
        <v/>
      </c>
      <c r="AY32" s="42" t="n"/>
      <c r="AZ32" s="49">
        <f>IF(ISBLANK(AU32),"",")&lt;/b&gt;")</f>
        <v/>
      </c>
      <c r="BA32" s="4">
        <f>IF(ISBLANK(BC32),"","&lt;br&gt;")</f>
        <v/>
      </c>
      <c r="BB32" s="42">
        <f t="array" ref="BB32">IF(ISBLANK(BC32),"",_xlfn.LET(
_xlpm.words,_xlfn.TEXTSPLIT(TRIM(BC32),"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2" s="50" t="n"/>
    </row>
    <row r="33">
      <c r="A33" s="20">
        <f>_xlfn.TEXTJOIN("", TRUE, F33:H33)</f>
        <v/>
      </c>
      <c r="B33" s="21">
        <f>_xlfn.TEXTJOIN("", TRUE, I33:S33)</f>
        <v/>
      </c>
      <c r="C33" s="21">
        <f>IF(ISBLANK(X33),"", _xlfn.TEXTJOIN("",TRUE,T33:Z33))</f>
        <v/>
      </c>
      <c r="D33" s="21">
        <f>IF(ISBLANK(AB33), "", _xlfn.TEXTJOIN("", TRUE, AA33:AC33))</f>
        <v/>
      </c>
      <c r="E33" s="22">
        <f>IF(AU33="NA", _xlfn.TEXTJOIN("", TRUE, AD33:AH33), _xlfn.TEXTJOIN("", TRUE, AD33:AJ33))</f>
        <v/>
      </c>
      <c r="F33" s="42">
        <f>IF(LEFT(G33,4)="FY26","&lt;b&gt;","&lt;i&gt;")</f>
        <v/>
      </c>
      <c r="G33" s="42" t="inlineStr">
        <is>
          <t>FY26 Reduction</t>
        </is>
      </c>
      <c r="H33" s="42">
        <f>IF(LEFT(G33,4)="FY26","&lt;/b&gt;","&lt;/i&gt;")</f>
        <v/>
      </c>
      <c r="I33" s="43" t="inlineStr">
        <is>
          <t>&lt;i&gt;</t>
        </is>
      </c>
      <c r="J33" s="44" t="inlineStr">
        <is>
          <t>Economic Development</t>
        </is>
      </c>
      <c r="K33" s="44" t="inlineStr">
        <is>
          <t>&lt;/i&gt;</t>
        </is>
      </c>
      <c r="L33" s="4">
        <f>IF(ISBLANK(N33),"","&lt;br&gt;")</f>
        <v/>
      </c>
      <c r="M33" s="42">
        <f>IF(ISBLANK(R33),"&lt;b&gt;","&lt;i&gt;")</f>
        <v/>
      </c>
      <c r="N33" s="42" t="inlineStr">
        <is>
          <t>Dept. of Agriculture</t>
        </is>
      </c>
      <c r="O33" s="42">
        <f>IF(ISBLANK(R33),"&lt;/b&gt;","&lt;/i&gt;")</f>
        <v/>
      </c>
      <c r="P33" s="4">
        <f>IF(ISBLANK(R33),"","&lt;br&gt;")</f>
        <v/>
      </c>
      <c r="Q33" s="42">
        <f>IF(ISBLANK(R33),"","&lt;b&gt;")</f>
        <v/>
      </c>
      <c r="R33" s="42" t="n"/>
      <c r="S33" s="42">
        <f>IF(ISBLANK(R33),"","&lt;/i&gt;")</f>
        <v/>
      </c>
      <c r="T33" s="43">
        <f>IF(ISBLANK(X33),"",IF(OR(AB33="PASSED",ISBLANK(N33)),"&lt;b&gt;","&lt;i&gt;"))</f>
        <v/>
      </c>
      <c r="U33" s="3">
        <f>IF(ISBLANK(V33),"","&lt;a href='")</f>
        <v/>
      </c>
      <c r="V33" s="39" t="inlineStr">
        <is>
          <t>https://legislature.idaho.gov/sessioninfo/2026/legislation/S1331/</t>
        </is>
      </c>
      <c r="W33" s="17">
        <f>IF(ISBLANK(V33),"","'&gt;")</f>
        <v/>
      </c>
      <c r="X33" s="12" t="inlineStr">
        <is>
          <t>Senate Bill 1331</t>
        </is>
      </c>
      <c r="Y33" s="17">
        <f>IF(ISBLANK(X33),"","&lt;/a&gt;")</f>
        <v/>
      </c>
      <c r="Z33" s="42">
        <f>IF(ISBLANK(X33),"",IF(OR(AB33="PASSED",ISBLANK(N33)),"&lt;/b&gt;","&lt;/i&gt;"))</f>
        <v/>
      </c>
      <c r="AA33" s="43">
        <f>IF(AB33="PASSED","&lt;b&gt;","")</f>
        <v/>
      </c>
      <c r="AB33" s="45" t="inlineStr">
        <is>
          <t>PASSED</t>
        </is>
      </c>
      <c r="AC33" s="43">
        <f>IF(AB33="PASSED","&lt;/b&gt;","")</f>
        <v/>
      </c>
      <c r="AD33" s="43">
        <f>IF(ISBLANK(AE33),"","&lt;b&gt;")</f>
        <v/>
      </c>
      <c r="AE33" s="51" t="inlineStr">
        <is>
          <t>03/06</t>
        </is>
      </c>
      <c r="AF33" s="42">
        <f>IF(ISBLANK(AE33),"",": ")</f>
        <v/>
      </c>
      <c r="AG33" s="42" t="inlineStr">
        <is>
          <t>House Vote 48-22</t>
        </is>
      </c>
      <c r="AH33" s="42">
        <f>IF(ISBLANK(AE33),"","&lt;/b&gt;")</f>
        <v/>
      </c>
      <c r="AI33" s="42" t="inlineStr">
        <is>
          <t>03/02: Senate Vote 18-17&lt;br&gt;02/06: FY26 holdback (-4%)</t>
        </is>
      </c>
      <c r="AJ33" s="42">
        <f>IF(ISBLANK(AI33),"","&lt;br&gt;"&amp;AI33)</f>
        <v/>
      </c>
      <c r="AK33" s="4" t="inlineStr">
        <is>
          <t>&lt;br&gt;</t>
        </is>
      </c>
      <c r="AL33" s="42" t="inlineStr">
        <is>
          <t>&lt;b&gt;&lt;i&gt;</t>
        </is>
      </c>
      <c r="AM33" s="42" t="inlineStr">
        <is>
          <t>Governor's 3% + JFAC's 1%</t>
        </is>
      </c>
      <c r="AN33" s="42">
        <f>IF(ISBLANK(AM33),"","&lt;/i&gt;")</f>
        <v/>
      </c>
      <c r="AO33" s="35">
        <f>IF(ISBLANK(AQ33),"","&lt;/b&gt;&lt;br&gt;&lt;br&gt;")</f>
        <v/>
      </c>
      <c r="AP33" s="42">
        <f>IF(ISBLANK(AQ33),"","&lt;b&gt;")</f>
        <v/>
      </c>
      <c r="AQ33" s="47" t="inlineStr">
        <is>
          <t xml:space="preserve">Agency Reduction Plan:&lt;br&gt;Additional </t>
        </is>
      </c>
      <c r="AR33" s="42" t="inlineStr">
        <is>
          <t>1</t>
        </is>
      </c>
      <c r="AS33" s="4">
        <f>IF(ISBLANK(AR33),""," %")</f>
        <v/>
      </c>
      <c r="AT33" s="4">
        <f t="array" ref="AT33">_xlfn.IFS(NOT(ISBLANK(AU33))," (pgs. ",NOT(ISBLANK(AS33))," (pg. ", ISBLANK(AS33), "")</f>
        <v/>
      </c>
      <c r="AU33" s="52" t="n">
        <v>143</v>
      </c>
      <c r="AV33" s="4">
        <f>IF(ISBLANK(AW33),"",", ")</f>
        <v/>
      </c>
      <c r="AW33" s="42" t="n"/>
      <c r="AX33" s="4">
        <f>IF(ISBLANK(AY33),"",",&lt;br&gt;")</f>
        <v/>
      </c>
      <c r="AY33" s="42" t="n"/>
      <c r="AZ33" s="49">
        <f>IF(ISBLANK(AU33),"",")&lt;/b&gt;")</f>
        <v/>
      </c>
      <c r="BA33" s="4">
        <f>IF(ISBLANK(BC33),"","&lt;br&gt;")</f>
        <v/>
      </c>
      <c r="BB33" s="42">
        <f t="array" ref="BB33">IF(ISBLANK(BC33),"",_xlfn.LET(
_xlpm.words,_xlfn.TEXTSPLIT(TRIM(BC33),"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3" s="50" t="inlineStr">
        <is>
          <t>The ISDA administration division receives General Fund for operations. Administration also charges an overhead rate of 4% on revenues received from the various dedicated programs of the agency with caps to some of the larger programs. The Plants Division accounts for over 50% of the General Funds by ISDA, with the bulk of that funding going towards invasive species and noxious weed prevention, treatment, and Cooperative Weed Management Area (CWMA) projects. The Invasive Species and Noxious Weeds programs accounted for $7.2 million of the $8.2 million of General Funds for Plants. The reduction in noxious weed funding is unavoidable given the significant percentage of the budget. This Noxious Weed funding is distributed as pass-through funding for projects implemented by CWMAs. The Invasive Species Program receives nearly one-third of the agency's total General Fund appropriation. While the agency avoided cuts to this program in the previous FY26 recission, the agency is now reviewing and prioritizing operations and watercraft inspection locations. This proposal reflects a cut to watercraft inspection station operations. We would propose delaying opening at three stations to decrease FY26 costs - Samuels, Kooskia and Dubois. Two stations - Kooskia and Dubois - are operated directly by ISDA; while Samuels is operated by a cooperator.</t>
        </is>
      </c>
    </row>
    <row r="34">
      <c r="A34" s="20">
        <f>_xlfn.TEXTJOIN("", TRUE, F34:H34)</f>
        <v/>
      </c>
      <c r="B34" s="21">
        <f>_xlfn.TEXTJOIN("", TRUE, I34:S34)</f>
        <v/>
      </c>
      <c r="C34" s="21">
        <f>IF(ISBLANK(X34),"", _xlfn.TEXTJOIN("",TRUE,T34:Z34))</f>
        <v/>
      </c>
      <c r="D34" s="21">
        <f>IF(ISBLANK(AB34), "", _xlfn.TEXTJOIN("", TRUE, AA34:AC34))</f>
        <v/>
      </c>
      <c r="E34" s="22">
        <f>IF(AU34="NA", _xlfn.TEXTJOIN("", TRUE, AD34:AH34), _xlfn.TEXTJOIN("", TRUE, AD34:AJ34))</f>
        <v/>
      </c>
      <c r="F34" s="42">
        <f>IF(LEFT(G34,4)="FY26","&lt;b&gt;","&lt;i&gt;")</f>
        <v/>
      </c>
      <c r="G34" s="42" t="inlineStr">
        <is>
          <t>FY26 Reduction</t>
        </is>
      </c>
      <c r="H34" s="42">
        <f>IF(LEFT(G34,4)="FY26","&lt;/b&gt;","&lt;/i&gt;")</f>
        <v/>
      </c>
      <c r="I34" s="43" t="inlineStr">
        <is>
          <t>&lt;i&gt;</t>
        </is>
      </c>
      <c r="J34" s="44" t="inlineStr">
        <is>
          <t>Economic Development</t>
        </is>
      </c>
      <c r="K34" s="44" t="inlineStr">
        <is>
          <t>&lt;/i&gt;</t>
        </is>
      </c>
      <c r="L34" s="4">
        <f>IF(ISBLANK(N34),"","&lt;br&gt;")</f>
        <v/>
      </c>
      <c r="M34" s="42">
        <f>IF(ISBLANK(R34),"&lt;b&gt;","&lt;i&gt;")</f>
        <v/>
      </c>
      <c r="N34" s="42" t="inlineStr">
        <is>
          <t>Dept. of Agriculture</t>
        </is>
      </c>
      <c r="O34" s="42">
        <f>IF(ISBLANK(R34),"&lt;/b&gt;","&lt;/i&gt;")</f>
        <v/>
      </c>
      <c r="P34" s="4">
        <f>IF(ISBLANK(R34),"","&lt;br&gt;")</f>
        <v/>
      </c>
      <c r="Q34" s="42">
        <f>IF(ISBLANK(R34),"","&lt;b&gt;")</f>
        <v/>
      </c>
      <c r="R34" s="42" t="inlineStr">
        <is>
          <t>Soil &amp; Water Conservation Comm.</t>
        </is>
      </c>
      <c r="S34" s="42">
        <f>IF(ISBLANK(R34),"","&lt;/i&gt;")</f>
        <v/>
      </c>
      <c r="T34" s="43">
        <f>IF(ISBLANK(X34),"",IF(OR(AB34="PASSED",ISBLANK(N34)),"&lt;b&gt;","&lt;i&gt;"))</f>
        <v/>
      </c>
      <c r="U34" s="3">
        <f>IF(ISBLANK(V34),"","&lt;a href='")</f>
        <v/>
      </c>
      <c r="V34" s="39" t="inlineStr">
        <is>
          <t>https://legislature.idaho.gov/sessioninfo/2026/legislation/S1331/</t>
        </is>
      </c>
      <c r="W34" s="17">
        <f>IF(ISBLANK(V34),"","'&gt;")</f>
        <v/>
      </c>
      <c r="X34" s="12" t="inlineStr">
        <is>
          <t>Senate Bill 1331</t>
        </is>
      </c>
      <c r="Y34" s="17">
        <f>IF(ISBLANK(X34),"","&lt;/a&gt;")</f>
        <v/>
      </c>
      <c r="Z34" s="42">
        <f>IF(ISBLANK(X34),"",IF(OR(AB34="PASSED",ISBLANK(N34)),"&lt;/b&gt;","&lt;/i&gt;"))</f>
        <v/>
      </c>
      <c r="AA34" s="43">
        <f>IF(AB34="PASSED","&lt;b&gt;","")</f>
        <v/>
      </c>
      <c r="AB34" s="45" t="inlineStr">
        <is>
          <t>PASSED</t>
        </is>
      </c>
      <c r="AC34" s="43">
        <f>IF(AB34="PASSED","&lt;/b&gt;","")</f>
        <v/>
      </c>
      <c r="AD34" s="43">
        <f>IF(ISBLANK(AE34),"","&lt;b&gt;")</f>
        <v/>
      </c>
      <c r="AE34" s="51" t="inlineStr">
        <is>
          <t>03/06</t>
        </is>
      </c>
      <c r="AF34" s="42">
        <f>IF(ISBLANK(AE34),"",": ")</f>
        <v/>
      </c>
      <c r="AG34" s="42" t="inlineStr">
        <is>
          <t>House Vote 48-22</t>
        </is>
      </c>
      <c r="AH34" s="42">
        <f>IF(ISBLANK(AE34),"","&lt;/b&gt;")</f>
        <v/>
      </c>
      <c r="AI34" s="42" t="inlineStr">
        <is>
          <t>03/02: Senate Vote 18-17&lt;br&gt;02/06: FY26 holdback (-4%)</t>
        </is>
      </c>
      <c r="AJ34" s="42">
        <f>IF(ISBLANK(AI34),"","&lt;br&gt;"&amp;AI34)</f>
        <v/>
      </c>
      <c r="AK34" s="4" t="inlineStr">
        <is>
          <t>&lt;br&gt;</t>
        </is>
      </c>
      <c r="AL34" s="42" t="inlineStr">
        <is>
          <t>&lt;b&gt;&lt;i&gt;</t>
        </is>
      </c>
      <c r="AM34" s="42" t="inlineStr">
        <is>
          <t>Governor's 3% + JFAC's 1%</t>
        </is>
      </c>
      <c r="AN34" s="42">
        <f>IF(ISBLANK(AM34),"","&lt;/i&gt;")</f>
        <v/>
      </c>
      <c r="AO34" s="35">
        <f>IF(ISBLANK(AQ34),"","&lt;/b&gt;&lt;br&gt;&lt;br&gt;")</f>
        <v/>
      </c>
      <c r="AP34" s="42">
        <f>IF(ISBLANK(AQ34),"","&lt;b&gt;")</f>
        <v/>
      </c>
      <c r="AQ34" s="47" t="inlineStr">
        <is>
          <t xml:space="preserve">Agency Reduction Plan:&lt;br&gt;Additional </t>
        </is>
      </c>
      <c r="AR34" s="42" t="inlineStr">
        <is>
          <t>1</t>
        </is>
      </c>
      <c r="AS34" s="4">
        <f>IF(ISBLANK(AR34),""," %")</f>
        <v/>
      </c>
      <c r="AT34" s="4">
        <f t="array" ref="AT34">_xlfn.IFS(NOT(ISBLANK(AU34))," (pgs. ",NOT(ISBLANK(AS34))," (pg. ", ISBLANK(AS34), "")</f>
        <v/>
      </c>
      <c r="AU34" s="52" t="n">
        <v>145</v>
      </c>
      <c r="AV34" s="4">
        <f>IF(ISBLANK(AW34),"",", ")</f>
        <v/>
      </c>
      <c r="AW34" s="42" t="n"/>
      <c r="AX34" s="4">
        <f>IF(ISBLANK(AY34),"",",&lt;br&gt;")</f>
        <v/>
      </c>
      <c r="AY34" s="42" t="n"/>
      <c r="AZ34" s="49">
        <f>IF(ISBLANK(AU34),"",")&lt;/b&gt;")</f>
        <v/>
      </c>
      <c r="BA34" s="4">
        <f>IF(ISBLANK(BC34),"","&lt;br&gt;")</f>
        <v/>
      </c>
      <c r="BB34" s="42">
        <f t="array" ref="BB34">IF(ISBLANK(BC34),"",_xlfn.LET(
_xlpm.words,_xlfn.TEXTSPLIT(TRIM(BC34),"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4" s="50" t="inlineStr">
        <is>
          <t>SWCC and IDWR have been working to create a plan to merge the two agencies. If the plan moves forward, the proposal includes a reduction of one FTP and the savings that will be gained by reducing redundancy in administration and fiscal services. The total projected reduction is expected to be about $100,000 annually. The agency used $47,900 of this savings as part of the Governor's 3% Holdback so the remaining amount is $52,100.</t>
        </is>
      </c>
    </row>
    <row r="35">
      <c r="A35" s="20">
        <f>_xlfn.TEXTJOIN("", TRUE, F35:H35)</f>
        <v/>
      </c>
      <c r="B35" s="21">
        <f>_xlfn.TEXTJOIN("", TRUE, I35:S35)</f>
        <v/>
      </c>
      <c r="C35" s="21">
        <f>IF(ISBLANK(X35),"", _xlfn.TEXTJOIN("",TRUE,T35:Z35))</f>
        <v/>
      </c>
      <c r="D35" s="21">
        <f>IF(ISBLANK(AB35), "", _xlfn.TEXTJOIN("", TRUE, AA35:AC35))</f>
        <v/>
      </c>
      <c r="E35" s="22">
        <f>IF(AU35="NA", _xlfn.TEXTJOIN("", TRUE, AD35:AH35), _xlfn.TEXTJOIN("", TRUE, AD35:AJ35))</f>
        <v/>
      </c>
      <c r="F35" s="42">
        <f>IF(LEFT(G35,4)="FY26","&lt;b&gt;","&lt;i&gt;")</f>
        <v/>
      </c>
      <c r="G35" s="42" t="inlineStr">
        <is>
          <t>FY26 Reduction</t>
        </is>
      </c>
      <c r="H35" s="42">
        <f>IF(LEFT(G35,4)="FY26","&lt;/b&gt;","&lt;/i&gt;")</f>
        <v/>
      </c>
      <c r="I35" s="43" t="inlineStr">
        <is>
          <t>&lt;i&gt;</t>
        </is>
      </c>
      <c r="J35" s="44" t="inlineStr">
        <is>
          <t>Economic Development</t>
        </is>
      </c>
      <c r="K35" s="44" t="inlineStr">
        <is>
          <t>&lt;/i&gt;</t>
        </is>
      </c>
      <c r="L35" s="4">
        <f>IF(ISBLANK(N35),"","&lt;br&gt;")</f>
        <v/>
      </c>
      <c r="M35" s="42">
        <f>IF(ISBLANK(R35),"&lt;b&gt;","&lt;i&gt;")</f>
        <v/>
      </c>
      <c r="N35" s="42" t="inlineStr">
        <is>
          <t>Dept. of Commerce</t>
        </is>
      </c>
      <c r="O35" s="42">
        <f>IF(ISBLANK(R35),"&lt;/b&gt;","&lt;/i&gt;")</f>
        <v/>
      </c>
      <c r="P35" s="4">
        <f>IF(ISBLANK(R35),"","&lt;br&gt;")</f>
        <v/>
      </c>
      <c r="Q35" s="42">
        <f>IF(ISBLANK(R35),"","&lt;b&gt;")</f>
        <v/>
      </c>
      <c r="R35" s="42" t="n"/>
      <c r="S35" s="42">
        <f>IF(ISBLANK(R35),"","&lt;/i&gt;")</f>
        <v/>
      </c>
      <c r="T35" s="43">
        <f>IF(ISBLANK(X35),"",IF(OR(AB35="PASSED",ISBLANK(N35)),"&lt;b&gt;","&lt;i&gt;"))</f>
        <v/>
      </c>
      <c r="U35" s="3">
        <f>IF(ISBLANK(V35),"","&lt;a href='")</f>
        <v/>
      </c>
      <c r="V35" s="39" t="inlineStr">
        <is>
          <t>https://legislature.idaho.gov/sessioninfo/2026/legislation/S1331/</t>
        </is>
      </c>
      <c r="W35" s="17">
        <f>IF(ISBLANK(V35),"","'&gt;")</f>
        <v/>
      </c>
      <c r="X35" s="12" t="inlineStr">
        <is>
          <t>Senate Bill 1331</t>
        </is>
      </c>
      <c r="Y35" s="17">
        <f>IF(ISBLANK(X35),"","&lt;/a&gt;")</f>
        <v/>
      </c>
      <c r="Z35" s="42">
        <f>IF(ISBLANK(X35),"",IF(OR(AB35="PASSED",ISBLANK(N35)),"&lt;/b&gt;","&lt;/i&gt;"))</f>
        <v/>
      </c>
      <c r="AA35" s="43">
        <f>IF(AB35="PASSED","&lt;b&gt;","")</f>
        <v/>
      </c>
      <c r="AB35" s="45" t="inlineStr">
        <is>
          <t>PASSED</t>
        </is>
      </c>
      <c r="AC35" s="43">
        <f>IF(AB35="PASSED","&lt;/b&gt;","")</f>
        <v/>
      </c>
      <c r="AD35" s="43">
        <f>IF(ISBLANK(AE35),"","&lt;b&gt;")</f>
        <v/>
      </c>
      <c r="AE35" s="51" t="inlineStr">
        <is>
          <t>03/06</t>
        </is>
      </c>
      <c r="AF35" s="42">
        <f>IF(ISBLANK(AE35),"",": ")</f>
        <v/>
      </c>
      <c r="AG35" s="42" t="inlineStr">
        <is>
          <t>House Vote 48-22</t>
        </is>
      </c>
      <c r="AH35" s="42">
        <f>IF(ISBLANK(AE35),"","&lt;/b&gt;")</f>
        <v/>
      </c>
      <c r="AI35" s="42" t="inlineStr">
        <is>
          <t>03/02: Senate Vote 18-17&lt;br&gt;02/06: FY26 holdback (-4%)</t>
        </is>
      </c>
      <c r="AJ35" s="42">
        <f>IF(ISBLANK(AI35),"","&lt;br&gt;"&amp;AI35)</f>
        <v/>
      </c>
      <c r="AK35" s="4" t="inlineStr">
        <is>
          <t>&lt;br&gt;</t>
        </is>
      </c>
      <c r="AL35" s="42" t="inlineStr">
        <is>
          <t>&lt;b&gt;&lt;i&gt;</t>
        </is>
      </c>
      <c r="AM35" s="42" t="inlineStr">
        <is>
          <t>Governor's 3% + JFAC's 1%</t>
        </is>
      </c>
      <c r="AN35" s="42">
        <f>IF(ISBLANK(AM35),"","&lt;/i&gt;")</f>
        <v/>
      </c>
      <c r="AO35" s="35">
        <f>IF(ISBLANK(AQ35),"","&lt;/b&gt;&lt;br&gt;&lt;br&gt;")</f>
        <v/>
      </c>
      <c r="AP35" s="42">
        <f>IF(ISBLANK(AQ35),"","&lt;b&gt;")</f>
        <v/>
      </c>
      <c r="AQ35" s="47" t="inlineStr">
        <is>
          <t xml:space="preserve">Agency Reduction Plan:&lt;br&gt;Additional </t>
        </is>
      </c>
      <c r="AR35" s="42" t="inlineStr">
        <is>
          <t>1</t>
        </is>
      </c>
      <c r="AS35" s="4">
        <f>IF(ISBLANK(AR35),""," %")</f>
        <v/>
      </c>
      <c r="AT35" s="4">
        <f t="array" ref="AT35">_xlfn.IFS(NOT(ISBLANK(AU35))," (pgs. ",NOT(ISBLANK(AS35))," (pg. ", ISBLANK(AS35), "")</f>
        <v/>
      </c>
      <c r="AU35" s="52" t="n">
        <v>147</v>
      </c>
      <c r="AV35" s="4">
        <f>IF(ISBLANK(AW35),"",", ")</f>
        <v/>
      </c>
      <c r="AW35" s="42" t="n"/>
      <c r="AX35" s="4">
        <f>IF(ISBLANK(AY35),"",",&lt;br&gt;")</f>
        <v/>
      </c>
      <c r="AY35" s="42" t="n"/>
      <c r="AZ35" s="49">
        <f>IF(ISBLANK(AU35),"",")&lt;/b&gt;")</f>
        <v/>
      </c>
      <c r="BA35" s="4">
        <f>IF(ISBLANK(BC35),"","&lt;br&gt;")</f>
        <v/>
      </c>
      <c r="BB35" s="42">
        <f t="array" ref="BB35">IF(ISBLANK(BC35),"",_xlfn.LET(
_xlpm.words,_xlfn.TEXTSPLIT(TRIM(BC35),"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5" s="50" t="inlineStr">
        <is>
          <t>To meet the requested 1% and 2% reductions in FY2026, the Department plans to reduce funding for community infrastructure grants administered. These programs have been especially effective in supporting rural communities by funding critical infrastructure projects that enable economic development. Reductions in these programs will have a direct and disproportionate impact on rural Idaho, where communities often rely on this funding to attract private investment, create jobs, and expand local tax bases.</t>
        </is>
      </c>
    </row>
    <row r="36">
      <c r="A36" s="20">
        <f>_xlfn.TEXTJOIN("", TRUE, F36:H36)</f>
        <v/>
      </c>
      <c r="B36" s="21">
        <f>_xlfn.TEXTJOIN("", TRUE, I36:S36)</f>
        <v/>
      </c>
      <c r="C36" s="21">
        <f>IF(ISBLANK(X36),"", _xlfn.TEXTJOIN("",TRUE,T36:Z36))</f>
        <v/>
      </c>
      <c r="D36" s="21">
        <f>IF(ISBLANK(AB36), "", _xlfn.TEXTJOIN("", TRUE, AA36:AC36))</f>
        <v/>
      </c>
      <c r="E36" s="22">
        <f>IF(AU36="NA", _xlfn.TEXTJOIN("", TRUE, AD36:AH36), _xlfn.TEXTJOIN("", TRUE, AD36:AJ36))</f>
        <v/>
      </c>
      <c r="F36" s="42">
        <f>IF(LEFT(G36,4)="FY26","&lt;b&gt;","&lt;i&gt;")</f>
        <v/>
      </c>
      <c r="G36" s="42" t="inlineStr">
        <is>
          <t>FY26 Reduction</t>
        </is>
      </c>
      <c r="H36" s="42">
        <f>IF(LEFT(G36,4)="FY26","&lt;/b&gt;","&lt;/i&gt;")</f>
        <v/>
      </c>
      <c r="I36" s="43" t="inlineStr">
        <is>
          <t>&lt;i&gt;</t>
        </is>
      </c>
      <c r="J36" s="44" t="inlineStr">
        <is>
          <t>Economic Development</t>
        </is>
      </c>
      <c r="K36" s="44" t="inlineStr">
        <is>
          <t>&lt;/i&gt;</t>
        </is>
      </c>
      <c r="L36" s="4">
        <f>IF(ISBLANK(N36),"","&lt;br&gt;")</f>
        <v/>
      </c>
      <c r="M36" s="42">
        <f>IF(ISBLANK(R36),"&lt;b&gt;","&lt;i&gt;")</f>
        <v/>
      </c>
      <c r="N36" s="42" t="inlineStr">
        <is>
          <t>Dept. of Finance</t>
        </is>
      </c>
      <c r="O36" s="42">
        <f>IF(ISBLANK(R36),"&lt;/b&gt;","&lt;/i&gt;")</f>
        <v/>
      </c>
      <c r="P36" s="4">
        <f>IF(ISBLANK(R36),"","&lt;br&gt;")</f>
        <v/>
      </c>
      <c r="Q36" s="42">
        <f>IF(ISBLANK(R36),"","&lt;b&gt;")</f>
        <v/>
      </c>
      <c r="R36" s="42" t="n"/>
      <c r="S36" s="42">
        <f>IF(ISBLANK(R36),"","&lt;/i&gt;")</f>
        <v/>
      </c>
      <c r="T36" s="43">
        <f>IF(ISBLANK(X36),"",IF(OR(AB36="PASSED",ISBLANK(N36)),"&lt;b&gt;","&lt;i&gt;"))</f>
        <v/>
      </c>
      <c r="U36" s="3">
        <f>IF(ISBLANK(V36),"","&lt;a href='")</f>
        <v/>
      </c>
      <c r="V36" s="39" t="inlineStr">
        <is>
          <t>https://legislature.idaho.gov/sessioninfo/2026/legislation/S1331/</t>
        </is>
      </c>
      <c r="W36" s="17">
        <f>IF(ISBLANK(V36),"","'&gt;")</f>
        <v/>
      </c>
      <c r="X36" s="12" t="inlineStr">
        <is>
          <t>Senate Bill 1331</t>
        </is>
      </c>
      <c r="Y36" s="17">
        <f>IF(ISBLANK(X36),"","&lt;/a&gt;")</f>
        <v/>
      </c>
      <c r="Z36" s="42">
        <f>IF(ISBLANK(X36),"",IF(OR(AB36="PASSED",ISBLANK(N36)),"&lt;/b&gt;","&lt;/i&gt;"))</f>
        <v/>
      </c>
      <c r="AA36" s="43">
        <f>IF(AB36="PASSED","&lt;b&gt;","")</f>
        <v/>
      </c>
      <c r="AB36" s="45" t="inlineStr">
        <is>
          <t>PASSED</t>
        </is>
      </c>
      <c r="AC36" s="43">
        <f>IF(AB36="PASSED","&lt;/b&gt;","")</f>
        <v/>
      </c>
      <c r="AD36" s="43">
        <f>IF(ISBLANK(AE36),"","&lt;b&gt;")</f>
        <v/>
      </c>
      <c r="AE36" s="51" t="inlineStr">
        <is>
          <t>03/06</t>
        </is>
      </c>
      <c r="AF36" s="42">
        <f>IF(ISBLANK(AE36),"",": ")</f>
        <v/>
      </c>
      <c r="AG36" s="42" t="inlineStr">
        <is>
          <t>House Vote 48-22</t>
        </is>
      </c>
      <c r="AH36" s="42">
        <f>IF(ISBLANK(AE36),"","&lt;/b&gt;")</f>
        <v/>
      </c>
      <c r="AI36" s="42" t="inlineStr">
        <is>
          <t>03/02: Senate Vote 18-17&lt;br&gt;02/06: FY26 holdback (-4%)</t>
        </is>
      </c>
      <c r="AJ36" s="42">
        <f>IF(ISBLANK(AI36),"","&lt;br&gt;"&amp;AI36)</f>
        <v/>
      </c>
      <c r="AK36" s="4" t="inlineStr">
        <is>
          <t>&lt;br&gt;</t>
        </is>
      </c>
      <c r="AL36" s="42" t="inlineStr">
        <is>
          <t>&lt;b&gt;&lt;i&gt;</t>
        </is>
      </c>
      <c r="AM36" s="42" t="inlineStr">
        <is>
          <t>Governor's 3% + JFAC's 1%</t>
        </is>
      </c>
      <c r="AN36" s="42">
        <f>IF(ISBLANK(AM36),"","&lt;/i&gt;")</f>
        <v/>
      </c>
      <c r="AO36" s="35">
        <f>IF(ISBLANK(AQ36),"","&lt;/b&gt;&lt;br&gt;&lt;br&gt;")</f>
        <v/>
      </c>
      <c r="AP36" s="42">
        <f>IF(ISBLANK(AQ36),"","&lt;b&gt;")</f>
        <v/>
      </c>
      <c r="AQ36" s="47" t="inlineStr">
        <is>
          <t xml:space="preserve">Agency Reduction Plan:&lt;br&gt;Additional </t>
        </is>
      </c>
      <c r="AR36" s="42" t="inlineStr">
        <is>
          <t>1</t>
        </is>
      </c>
      <c r="AS36" s="4">
        <f>IF(ISBLANK(AR36),""," %")</f>
        <v/>
      </c>
      <c r="AT36" s="4">
        <f t="array" ref="AT36">_xlfn.IFS(NOT(ISBLANK(AU36))," (pgs. ",NOT(ISBLANK(AS36))," (pg. ", ISBLANK(AS36), "")</f>
        <v/>
      </c>
      <c r="AU36" s="52" t="inlineStr">
        <is>
          <t>NA</t>
        </is>
      </c>
      <c r="AV36" s="4">
        <f>IF(ISBLANK(AW36),"",", ")</f>
        <v/>
      </c>
      <c r="AW36" s="42" t="n"/>
      <c r="AX36" s="4">
        <f>IF(ISBLANK(AY36),"",",&lt;br&gt;")</f>
        <v/>
      </c>
      <c r="AY36" s="42" t="n"/>
      <c r="AZ36" s="49">
        <f>IF(ISBLANK(AU36),"",")&lt;/b&gt;")</f>
        <v/>
      </c>
      <c r="BA36" s="4">
        <f>IF(ISBLANK(BC36),"","&lt;br&gt;")</f>
        <v/>
      </c>
      <c r="BB36" s="42">
        <f t="array" ref="BB36">IF(ISBLANK(BC36),"",_xlfn.LET(
_xlpm.words,_xlfn.TEXTSPLIT(TRIM(BC36),"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6" s="50" t="n"/>
    </row>
    <row r="37">
      <c r="A37" s="20">
        <f>_xlfn.TEXTJOIN("", TRUE, F37:H37)</f>
        <v/>
      </c>
      <c r="B37" s="21">
        <f>_xlfn.TEXTJOIN("", TRUE, I37:S37)</f>
        <v/>
      </c>
      <c r="C37" s="21">
        <f>IF(ISBLANK(X37),"", _xlfn.TEXTJOIN("",TRUE,T37:Z37))</f>
        <v/>
      </c>
      <c r="D37" s="21">
        <f>IF(ISBLANK(AB37), "", _xlfn.TEXTJOIN("", TRUE, AA37:AC37))</f>
        <v/>
      </c>
      <c r="E37" s="22">
        <f>IF(AU37="NA", _xlfn.TEXTJOIN("", TRUE, AD37:AH37), _xlfn.TEXTJOIN("", TRUE, AD37:AJ37))</f>
        <v/>
      </c>
      <c r="F37" s="42">
        <f>IF(LEFT(G37,4)="FY26","&lt;b&gt;","&lt;i&gt;")</f>
        <v/>
      </c>
      <c r="G37" s="42" t="inlineStr">
        <is>
          <t>FY26 Reduction</t>
        </is>
      </c>
      <c r="H37" s="42">
        <f>IF(LEFT(G37,4)="FY26","&lt;/b&gt;","&lt;/i&gt;")</f>
        <v/>
      </c>
      <c r="I37" s="43" t="inlineStr">
        <is>
          <t>&lt;i&gt;</t>
        </is>
      </c>
      <c r="J37" s="44" t="inlineStr">
        <is>
          <t>Economic Development</t>
        </is>
      </c>
      <c r="K37" s="44" t="inlineStr">
        <is>
          <t>&lt;/i&gt;</t>
        </is>
      </c>
      <c r="L37" s="4">
        <f>IF(ISBLANK(N37),"","&lt;br&gt;")</f>
        <v/>
      </c>
      <c r="M37" s="42">
        <f>IF(ISBLANK(R37),"&lt;b&gt;","&lt;i&gt;")</f>
        <v/>
      </c>
      <c r="N37" s="42" t="inlineStr">
        <is>
          <t>Dept. of Insurance</t>
        </is>
      </c>
      <c r="O37" s="42">
        <f>IF(ISBLANK(R37),"&lt;/b&gt;","&lt;/i&gt;")</f>
        <v/>
      </c>
      <c r="P37" s="4">
        <f>IF(ISBLANK(R37),"","&lt;br&gt;")</f>
        <v/>
      </c>
      <c r="Q37" s="42">
        <f>IF(ISBLANK(R37),"","&lt;b&gt;")</f>
        <v/>
      </c>
      <c r="R37" s="42" t="n"/>
      <c r="S37" s="42">
        <f>IF(ISBLANK(R37),"","&lt;/i&gt;")</f>
        <v/>
      </c>
      <c r="T37" s="43">
        <f>IF(ISBLANK(X37),"",IF(OR(AB37="PASSED",ISBLANK(N37)),"&lt;b&gt;","&lt;i&gt;"))</f>
        <v/>
      </c>
      <c r="U37" s="3">
        <f>IF(ISBLANK(V37),"","&lt;a href='")</f>
        <v/>
      </c>
      <c r="V37" s="39" t="inlineStr">
        <is>
          <t>https://legislature.idaho.gov/sessioninfo/2026/legislation/S1331/</t>
        </is>
      </c>
      <c r="W37" s="17">
        <f>IF(ISBLANK(V37),"","'&gt;")</f>
        <v/>
      </c>
      <c r="X37" s="12" t="inlineStr">
        <is>
          <t>Senate Bill 1331</t>
        </is>
      </c>
      <c r="Y37" s="17">
        <f>IF(ISBLANK(X37),"","&lt;/a&gt;")</f>
        <v/>
      </c>
      <c r="Z37" s="42">
        <f>IF(ISBLANK(X37),"",IF(OR(AB37="PASSED",ISBLANK(N37)),"&lt;/b&gt;","&lt;/i&gt;"))</f>
        <v/>
      </c>
      <c r="AA37" s="43">
        <f>IF(AB37="PASSED","&lt;b&gt;","")</f>
        <v/>
      </c>
      <c r="AB37" s="45" t="inlineStr">
        <is>
          <t>PASSED</t>
        </is>
      </c>
      <c r="AC37" s="43">
        <f>IF(AB37="PASSED","&lt;/b&gt;","")</f>
        <v/>
      </c>
      <c r="AD37" s="43">
        <f>IF(ISBLANK(AE37),"","&lt;b&gt;")</f>
        <v/>
      </c>
      <c r="AE37" s="51" t="inlineStr">
        <is>
          <t>03/06</t>
        </is>
      </c>
      <c r="AF37" s="42">
        <f>IF(ISBLANK(AE37),"",": ")</f>
        <v/>
      </c>
      <c r="AG37" s="42" t="inlineStr">
        <is>
          <t>House Vote 48-22</t>
        </is>
      </c>
      <c r="AH37" s="42">
        <f>IF(ISBLANK(AE37),"","&lt;/b&gt;")</f>
        <v/>
      </c>
      <c r="AI37" s="42" t="inlineStr">
        <is>
          <t>03/02: Senate Vote 18-17&lt;br&gt;02/06: FY26 holdback (-4%)</t>
        </is>
      </c>
      <c r="AJ37" s="42">
        <f>IF(ISBLANK(AI37),"","&lt;br&gt;"&amp;AI37)</f>
        <v/>
      </c>
      <c r="AK37" s="4" t="inlineStr">
        <is>
          <t>&lt;br&gt;</t>
        </is>
      </c>
      <c r="AL37" s="42" t="inlineStr">
        <is>
          <t>&lt;b&gt;&lt;i&gt;</t>
        </is>
      </c>
      <c r="AM37" s="42" t="inlineStr">
        <is>
          <t>Governor's 3% + JFAC's 1%</t>
        </is>
      </c>
      <c r="AN37" s="42">
        <f>IF(ISBLANK(AM37),"","&lt;/i&gt;")</f>
        <v/>
      </c>
      <c r="AO37" s="35">
        <f>IF(ISBLANK(AQ37),"","&lt;/b&gt;&lt;br&gt;&lt;br&gt;")</f>
        <v/>
      </c>
      <c r="AP37" s="42">
        <f>IF(ISBLANK(AQ37),"","&lt;b&gt;")</f>
        <v/>
      </c>
      <c r="AQ37" s="47" t="inlineStr">
        <is>
          <t xml:space="preserve">Agency Reduction Plan:&lt;br&gt;Additional </t>
        </is>
      </c>
      <c r="AR37" s="42" t="inlineStr">
        <is>
          <t>1</t>
        </is>
      </c>
      <c r="AS37" s="4">
        <f>IF(ISBLANK(AR37),""," %")</f>
        <v/>
      </c>
      <c r="AT37" s="4">
        <f t="array" ref="AT37">_xlfn.IFS(NOT(ISBLANK(AU37))," (pgs. ",NOT(ISBLANK(AS37))," (pg. ", ISBLANK(AS37), "")</f>
        <v/>
      </c>
      <c r="AU37" s="52" t="inlineStr">
        <is>
          <t>NA</t>
        </is>
      </c>
      <c r="AV37" s="4">
        <f>IF(ISBLANK(AW37),"",", ")</f>
        <v/>
      </c>
      <c r="AW37" s="42" t="n"/>
      <c r="AX37" s="4">
        <f>IF(ISBLANK(AY37),"",",&lt;br&gt;")</f>
        <v/>
      </c>
      <c r="AY37" s="42" t="n"/>
      <c r="AZ37" s="49">
        <f>IF(ISBLANK(AU37),"",")&lt;/b&gt;")</f>
        <v/>
      </c>
      <c r="BA37" s="4">
        <f>IF(ISBLANK(BC37),"","&lt;br&gt;")</f>
        <v/>
      </c>
      <c r="BB37" s="42">
        <f t="array" ref="BB37">IF(ISBLANK(BC37),"",_xlfn.LET(
_xlpm.words,_xlfn.TEXTSPLIT(TRIM(BC37),"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7" s="50" t="n"/>
    </row>
    <row r="38">
      <c r="A38" s="20">
        <f>_xlfn.TEXTJOIN("", TRUE, F38:H38)</f>
        <v/>
      </c>
      <c r="B38" s="21">
        <f>_xlfn.TEXTJOIN("", TRUE, I38:S38)</f>
        <v/>
      </c>
      <c r="C38" s="21">
        <f>IF(ISBLANK(X38),"", _xlfn.TEXTJOIN("",TRUE,T38:Z38))</f>
        <v/>
      </c>
      <c r="D38" s="21">
        <f>IF(ISBLANK(AB38), "", _xlfn.TEXTJOIN("", TRUE, AA38:AC38))</f>
        <v/>
      </c>
      <c r="E38" s="22">
        <f>IF(AU38="NA", _xlfn.TEXTJOIN("", TRUE, AD38:AH38), _xlfn.TEXTJOIN("", TRUE, AD38:AJ38))</f>
        <v/>
      </c>
      <c r="F38" s="42">
        <f>IF(LEFT(G38,4)="FY26","&lt;b&gt;","&lt;i&gt;")</f>
        <v/>
      </c>
      <c r="G38" s="42" t="inlineStr">
        <is>
          <t>FY26 Reduction</t>
        </is>
      </c>
      <c r="H38" s="42">
        <f>IF(LEFT(G38,4)="FY26","&lt;/b&gt;","&lt;/i&gt;")</f>
        <v/>
      </c>
      <c r="I38" s="43" t="inlineStr">
        <is>
          <t>&lt;i&gt;</t>
        </is>
      </c>
      <c r="J38" s="44" t="inlineStr">
        <is>
          <t>Economic Development</t>
        </is>
      </c>
      <c r="K38" s="44" t="inlineStr">
        <is>
          <t>&lt;/i&gt;</t>
        </is>
      </c>
      <c r="L38" s="4">
        <f>IF(ISBLANK(N38),"","&lt;br&gt;")</f>
        <v/>
      </c>
      <c r="M38" s="42">
        <f>IF(ISBLANK(R38),"&lt;b&gt;","&lt;i&gt;")</f>
        <v/>
      </c>
      <c r="N38" s="42" t="inlineStr">
        <is>
          <t>Dept. of Labor</t>
        </is>
      </c>
      <c r="O38" s="42">
        <f>IF(ISBLANK(R38),"&lt;/b&gt;","&lt;/i&gt;")</f>
        <v/>
      </c>
      <c r="P38" s="4">
        <f>IF(ISBLANK(R38),"","&lt;br&gt;")</f>
        <v/>
      </c>
      <c r="Q38" s="42">
        <f>IF(ISBLANK(R38),"","&lt;b&gt;")</f>
        <v/>
      </c>
      <c r="R38" s="42" t="n"/>
      <c r="S38" s="42">
        <f>IF(ISBLANK(R38),"","&lt;/i&gt;")</f>
        <v/>
      </c>
      <c r="T38" s="43">
        <f>IF(ISBLANK(X38),"",IF(OR(AB38="PASSED",ISBLANK(N38)),"&lt;b&gt;","&lt;i&gt;"))</f>
        <v/>
      </c>
      <c r="U38" s="3">
        <f>IF(ISBLANK(V38),"","&lt;a href='")</f>
        <v/>
      </c>
      <c r="V38" s="39" t="inlineStr">
        <is>
          <t>https://legislature.idaho.gov/sessioninfo/2026/legislation/S1331/</t>
        </is>
      </c>
      <c r="W38" s="17">
        <f>IF(ISBLANK(V38),"","'&gt;")</f>
        <v/>
      </c>
      <c r="X38" s="12" t="inlineStr">
        <is>
          <t>Senate Bill 1331</t>
        </is>
      </c>
      <c r="Y38" s="17">
        <f>IF(ISBLANK(X38),"","&lt;/a&gt;")</f>
        <v/>
      </c>
      <c r="Z38" s="42">
        <f>IF(ISBLANK(X38),"",IF(OR(AB38="PASSED",ISBLANK(N38)),"&lt;/b&gt;","&lt;/i&gt;"))</f>
        <v/>
      </c>
      <c r="AA38" s="43">
        <f>IF(AB38="PASSED","&lt;b&gt;","")</f>
        <v/>
      </c>
      <c r="AB38" s="45" t="inlineStr">
        <is>
          <t>PASSED</t>
        </is>
      </c>
      <c r="AC38" s="43">
        <f>IF(AB38="PASSED","&lt;/b&gt;","")</f>
        <v/>
      </c>
      <c r="AD38" s="43">
        <f>IF(ISBLANK(AE38),"","&lt;b&gt;")</f>
        <v/>
      </c>
      <c r="AE38" s="51" t="inlineStr">
        <is>
          <t>03/06</t>
        </is>
      </c>
      <c r="AF38" s="42">
        <f>IF(ISBLANK(AE38),"",": ")</f>
        <v/>
      </c>
      <c r="AG38" s="42" t="inlineStr">
        <is>
          <t>House Vote 48-22</t>
        </is>
      </c>
      <c r="AH38" s="42">
        <f>IF(ISBLANK(AE38),"","&lt;/b&gt;")</f>
        <v/>
      </c>
      <c r="AI38" s="42" t="inlineStr">
        <is>
          <t>03/02: Senate Vote 18-17&lt;br&gt;02/06: FY26 holdback (-4%)</t>
        </is>
      </c>
      <c r="AJ38" s="42">
        <f>IF(ISBLANK(AI38),"","&lt;br&gt;"&amp;AI38)</f>
        <v/>
      </c>
      <c r="AK38" s="4" t="inlineStr">
        <is>
          <t>&lt;br&gt;</t>
        </is>
      </c>
      <c r="AL38" s="42" t="inlineStr">
        <is>
          <t>&lt;b&gt;&lt;i&gt;</t>
        </is>
      </c>
      <c r="AM38" s="42" t="inlineStr">
        <is>
          <t>Governor's 3% + JFAC's 1%</t>
        </is>
      </c>
      <c r="AN38" s="42">
        <f>IF(ISBLANK(AM38),"","&lt;/i&gt;")</f>
        <v/>
      </c>
      <c r="AO38" s="35">
        <f>IF(ISBLANK(AQ38),"","&lt;/b&gt;&lt;br&gt;&lt;br&gt;")</f>
        <v/>
      </c>
      <c r="AP38" s="42">
        <f>IF(ISBLANK(AQ38),"","&lt;b&gt;")</f>
        <v/>
      </c>
      <c r="AQ38" s="47" t="inlineStr">
        <is>
          <t xml:space="preserve">Agency Reduction Plan:&lt;br&gt;Additional </t>
        </is>
      </c>
      <c r="AR38" s="42" t="inlineStr">
        <is>
          <t>1</t>
        </is>
      </c>
      <c r="AS38" s="4">
        <f>IF(ISBLANK(AR38),""," %")</f>
        <v/>
      </c>
      <c r="AT38" s="4">
        <f t="array" ref="AT38">_xlfn.IFS(NOT(ISBLANK(AU38))," (pgs. ",NOT(ISBLANK(AS38))," (pg. ", ISBLANK(AS38), "")</f>
        <v/>
      </c>
      <c r="AU38" s="52" t="n">
        <v>153</v>
      </c>
      <c r="AV38" s="4">
        <f>IF(ISBLANK(AW38),"",", ")</f>
        <v/>
      </c>
      <c r="AW38" s="42" t="n"/>
      <c r="AX38" s="4">
        <f>IF(ISBLANK(AY38),"",",&lt;br&gt;")</f>
        <v/>
      </c>
      <c r="AY38" s="42" t="n"/>
      <c r="AZ38" s="49">
        <f>IF(ISBLANK(AU38),"",")&lt;/b&gt;")</f>
        <v/>
      </c>
      <c r="BA38" s="4">
        <f>IF(ISBLANK(BC38),"","&lt;br&gt;")</f>
        <v/>
      </c>
      <c r="BB38" s="42">
        <f t="array" ref="BB38">IF(ISBLANK(BC38),"",_xlfn.LET(
_xlpm.words,_xlfn.TEXTSPLIT(TRIM(BC38),"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8" s="50" t="inlineStr">
        <is>
          <t>Further general fund budget cuts will not have an immediate impact on this program or service provision for other Department of Labor programs. Because we are switching funding sources from General Fund to dedicated funds, there is no additional impact because of the shortened implementation time frame. Currently, the department has sufficient dedicated fund spending authority and fund balances to absorb an additional 1% reduction in state fiscal year 2026. However, long term the department's finite dedicated fund spending authority and drains on the fund balance over time may limit service provision and require decisions regarding program delivery for the programs that rely on dedicated funds to operate (including the Wage and Hour program).</t>
        </is>
      </c>
    </row>
    <row r="39">
      <c r="A39" s="20">
        <f>_xlfn.TEXTJOIN("", TRUE, F39:H39)</f>
        <v/>
      </c>
      <c r="B39" s="21">
        <f>_xlfn.TEXTJOIN("", TRUE, I39:S39)</f>
        <v/>
      </c>
      <c r="C39" s="21">
        <f>IF(ISBLANK(X39),"", _xlfn.TEXTJOIN("",TRUE,T39:Z39))</f>
        <v/>
      </c>
      <c r="D39" s="21">
        <f>IF(ISBLANK(AB39), "", _xlfn.TEXTJOIN("", TRUE, AA39:AC39))</f>
        <v/>
      </c>
      <c r="E39" s="22">
        <f>IF(AU39="NA", _xlfn.TEXTJOIN("", TRUE, AD39:AH39), _xlfn.TEXTJOIN("", TRUE, AD39:AJ39))</f>
        <v/>
      </c>
      <c r="F39" s="42">
        <f>IF(LEFT(G39,4)="FY26","&lt;b&gt;","&lt;i&gt;")</f>
        <v/>
      </c>
      <c r="G39" s="42" t="inlineStr">
        <is>
          <t>FY26 Reduction</t>
        </is>
      </c>
      <c r="H39" s="42">
        <f>IF(LEFT(G39,4)="FY26","&lt;/b&gt;","&lt;/i&gt;")</f>
        <v/>
      </c>
      <c r="I39" s="43" t="inlineStr">
        <is>
          <t>&lt;i&gt;</t>
        </is>
      </c>
      <c r="J39" s="44" t="inlineStr">
        <is>
          <t>Economic Development</t>
        </is>
      </c>
      <c r="K39" s="44" t="inlineStr">
        <is>
          <t>&lt;/i&gt;</t>
        </is>
      </c>
      <c r="L39" s="4">
        <f>IF(ISBLANK(N39),"","&lt;br&gt;")</f>
        <v/>
      </c>
      <c r="M39" s="42">
        <f>IF(ISBLANK(R39),"&lt;b&gt;","&lt;i&gt;")</f>
        <v/>
      </c>
      <c r="N39" s="42" t="inlineStr">
        <is>
          <t>Dept. of Self-Governing Agencies</t>
        </is>
      </c>
      <c r="O39" s="42">
        <f>IF(ISBLANK(R39),"&lt;/b&gt;","&lt;/i&gt;")</f>
        <v/>
      </c>
      <c r="P39" s="4">
        <f>IF(ISBLANK(R39),"","&lt;br&gt;")</f>
        <v/>
      </c>
      <c r="Q39" s="42">
        <f>IF(ISBLANK(R39),"","&lt;b&gt;")</f>
        <v/>
      </c>
      <c r="R39" s="42" t="inlineStr">
        <is>
          <t>Comm. for Libraries</t>
        </is>
      </c>
      <c r="S39" s="42">
        <f>IF(ISBLANK(R39),"","&lt;/i&gt;")</f>
        <v/>
      </c>
      <c r="T39" s="43">
        <f>IF(ISBLANK(X39),"",IF(OR(AB39="PASSED",ISBLANK(N39)),"&lt;b&gt;","&lt;i&gt;"))</f>
        <v/>
      </c>
      <c r="U39" s="3">
        <f>IF(ISBLANK(V39),"","&lt;a href='")</f>
        <v/>
      </c>
      <c r="V39" s="39" t="inlineStr">
        <is>
          <t>https://legislature.idaho.gov/sessioninfo/2026/legislation/S1331/</t>
        </is>
      </c>
      <c r="W39" s="17">
        <f>IF(ISBLANK(V39),"","'&gt;")</f>
        <v/>
      </c>
      <c r="X39" s="12" t="inlineStr">
        <is>
          <t>Senate Bill 1331</t>
        </is>
      </c>
      <c r="Y39" s="17">
        <f>IF(ISBLANK(X39),"","&lt;/a&gt;")</f>
        <v/>
      </c>
      <c r="Z39" s="42">
        <f>IF(ISBLANK(X39),"",IF(OR(AB39="PASSED",ISBLANK(N39)),"&lt;/b&gt;","&lt;/i&gt;"))</f>
        <v/>
      </c>
      <c r="AA39" s="43">
        <f>IF(AB39="PASSED","&lt;b&gt;","")</f>
        <v/>
      </c>
      <c r="AB39" s="45" t="inlineStr">
        <is>
          <t>PASSED</t>
        </is>
      </c>
      <c r="AC39" s="43">
        <f>IF(AB39="PASSED","&lt;/b&gt;","")</f>
        <v/>
      </c>
      <c r="AD39" s="43">
        <f>IF(ISBLANK(AE39),"","&lt;b&gt;")</f>
        <v/>
      </c>
      <c r="AE39" s="51" t="inlineStr">
        <is>
          <t>03/06</t>
        </is>
      </c>
      <c r="AF39" s="42">
        <f>IF(ISBLANK(AE39),"",": ")</f>
        <v/>
      </c>
      <c r="AG39" s="42" t="inlineStr">
        <is>
          <t>House Vote 48-22</t>
        </is>
      </c>
      <c r="AH39" s="42">
        <f>IF(ISBLANK(AE39),"","&lt;/b&gt;")</f>
        <v/>
      </c>
      <c r="AI39" s="42" t="inlineStr">
        <is>
          <t>03/02: Senate Vote 18-17&lt;br&gt;02/06: FY26 holdback (-4%)</t>
        </is>
      </c>
      <c r="AJ39" s="42">
        <f>IF(ISBLANK(AI39),"","&lt;br&gt;"&amp;AI39)</f>
        <v/>
      </c>
      <c r="AK39" s="4" t="inlineStr">
        <is>
          <t>&lt;br&gt;</t>
        </is>
      </c>
      <c r="AL39" s="42" t="inlineStr">
        <is>
          <t>&lt;b&gt;&lt;i&gt;</t>
        </is>
      </c>
      <c r="AM39" s="42" t="inlineStr">
        <is>
          <t>Governor's 3% + JFAC's 1%</t>
        </is>
      </c>
      <c r="AN39" s="42">
        <f>IF(ISBLANK(AM39),"","&lt;/i&gt;")</f>
        <v/>
      </c>
      <c r="AO39" s="35">
        <f>IF(ISBLANK(AQ39),"","&lt;/b&gt;&lt;br&gt;&lt;br&gt;")</f>
        <v/>
      </c>
      <c r="AP39" s="42">
        <f>IF(ISBLANK(AQ39),"","&lt;b&gt;")</f>
        <v/>
      </c>
      <c r="AQ39" s="47" t="inlineStr">
        <is>
          <t xml:space="preserve">Agency Reduction Plan:&lt;br&gt;Additional </t>
        </is>
      </c>
      <c r="AR39" s="42" t="inlineStr">
        <is>
          <t>1</t>
        </is>
      </c>
      <c r="AS39" s="4">
        <f>IF(ISBLANK(AR39),""," %")</f>
        <v/>
      </c>
      <c r="AT39" s="4">
        <f t="array" ref="AT39">_xlfn.IFS(NOT(ISBLANK(AU39))," (pgs. ",NOT(ISBLANK(AS39))," (pg. ", ISBLANK(AS39), "")</f>
        <v/>
      </c>
      <c r="AU39" s="52" t="n">
        <v>161</v>
      </c>
      <c r="AV39" s="4">
        <f>IF(ISBLANK(AW39),"",", ")</f>
        <v/>
      </c>
      <c r="AW39" s="42" t="n"/>
      <c r="AX39" s="4">
        <f>IF(ISBLANK(AY39),"",",&lt;br&gt;")</f>
        <v/>
      </c>
      <c r="AY39" s="42" t="n"/>
      <c r="AZ39" s="49">
        <f>IF(ISBLANK(AU39),"",")&lt;/b&gt;")</f>
        <v/>
      </c>
      <c r="BA39" s="4">
        <f>IF(ISBLANK(BC39),"","&lt;br&gt;")</f>
        <v/>
      </c>
      <c r="BB39" s="42">
        <f t="array" ref="BB39">IF(ISBLANK(BC39),"",_xlfn.LET(
_xlpm.words,_xlfn.TEXTSPLIT(TRIM(BC39),"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9" s="50" t="inlineStr">
        <is>
          <t>The 1% reduction of $49,700 would be achieved through one-time salary savings: Library Consultant position held vacant through the end of FY 2026; The position was vacated in December 2025 with salary savings totaling $47,200 by June 30, 2026. This is a critical position that must be filled in FY 2027. Extending the vacancy by an additional six months will reduce professional consulting support for libraries, negatively affecting the programs and services they can provide to their communities. State Librarian salary savings; The long-serving State Librarian retired in December 2025. The newly hired State Librarian’s lower salary results in approximately $6,000 salary savings.</t>
        </is>
      </c>
    </row>
    <row r="40">
      <c r="A40" s="20">
        <f>_xlfn.TEXTJOIN("", TRUE, F40:H40)</f>
        <v/>
      </c>
      <c r="B40" s="21">
        <f>_xlfn.TEXTJOIN("", TRUE, I40:S40)</f>
        <v/>
      </c>
      <c r="C40" s="21">
        <f>IF(ISBLANK(X40),"", _xlfn.TEXTJOIN("",TRUE,T40:Z40))</f>
        <v/>
      </c>
      <c r="D40" s="21">
        <f>IF(ISBLANK(AB40), "", _xlfn.TEXTJOIN("", TRUE, AA40:AC40))</f>
        <v/>
      </c>
      <c r="E40" s="22">
        <f>IF(AU40="NA", _xlfn.TEXTJOIN("", TRUE, AD40:AH40), _xlfn.TEXTJOIN("", TRUE, AD40:AJ40))</f>
        <v/>
      </c>
      <c r="F40" s="42">
        <f>IF(LEFT(G40,4)="FY26","&lt;b&gt;","&lt;i&gt;")</f>
        <v/>
      </c>
      <c r="G40" s="42" t="inlineStr">
        <is>
          <t>FY26 Reduction</t>
        </is>
      </c>
      <c r="H40" s="42">
        <f>IF(LEFT(G40,4)="FY26","&lt;/b&gt;","&lt;/i&gt;")</f>
        <v/>
      </c>
      <c r="I40" s="43" t="inlineStr">
        <is>
          <t>&lt;i&gt;</t>
        </is>
      </c>
      <c r="J40" s="44" t="inlineStr">
        <is>
          <t>Economic Development</t>
        </is>
      </c>
      <c r="K40" s="44" t="inlineStr">
        <is>
          <t>&lt;/i&gt;</t>
        </is>
      </c>
      <c r="L40" s="4">
        <f>IF(ISBLANK(N40),"","&lt;br&gt;")</f>
        <v/>
      </c>
      <c r="M40" s="42">
        <f>IF(ISBLANK(R40),"&lt;b&gt;","&lt;i&gt;")</f>
        <v/>
      </c>
      <c r="N40" s="42" t="inlineStr">
        <is>
          <t>Dept. of Self-Governing Agencies</t>
        </is>
      </c>
      <c r="O40" s="42">
        <f>IF(ISBLANK(R40),"&lt;/b&gt;","&lt;/i&gt;")</f>
        <v/>
      </c>
      <c r="P40" s="4">
        <f>IF(ISBLANK(R40),"","&lt;br&gt;")</f>
        <v/>
      </c>
      <c r="Q40" s="42">
        <f>IF(ISBLANK(R40),"","&lt;b&gt;")</f>
        <v/>
      </c>
      <c r="R40" s="42" t="inlineStr">
        <is>
          <t>Comm. of Pardons &amp; Parole</t>
        </is>
      </c>
      <c r="S40" s="42">
        <f>IF(ISBLANK(R40),"","&lt;/i&gt;")</f>
        <v/>
      </c>
      <c r="T40" s="43">
        <f>IF(ISBLANK(X40),"",IF(OR(AB40="PASSED",ISBLANK(N40)),"&lt;b&gt;","&lt;i&gt;"))</f>
        <v/>
      </c>
      <c r="U40" s="3">
        <f>IF(ISBLANK(V40),"","&lt;a href='")</f>
        <v/>
      </c>
      <c r="V40" s="39" t="inlineStr">
        <is>
          <t>https://legislature.idaho.gov/sessioninfo/2026/legislation/S1331/</t>
        </is>
      </c>
      <c r="W40" s="17">
        <f>IF(ISBLANK(V40),"","'&gt;")</f>
        <v/>
      </c>
      <c r="X40" s="12" t="inlineStr">
        <is>
          <t>Senate Bill 1331</t>
        </is>
      </c>
      <c r="Y40" s="17">
        <f>IF(ISBLANK(X40),"","&lt;/a&gt;")</f>
        <v/>
      </c>
      <c r="Z40" s="42">
        <f>IF(ISBLANK(X40),"",IF(OR(AB40="PASSED",ISBLANK(N40)),"&lt;/b&gt;","&lt;/i&gt;"))</f>
        <v/>
      </c>
      <c r="AA40" s="43">
        <f>IF(AB40="PASSED","&lt;b&gt;","")</f>
        <v/>
      </c>
      <c r="AB40" s="45" t="inlineStr">
        <is>
          <t>PASSED</t>
        </is>
      </c>
      <c r="AC40" s="43">
        <f>IF(AB40="PASSED","&lt;/b&gt;","")</f>
        <v/>
      </c>
      <c r="AD40" s="43">
        <f>IF(ISBLANK(AE40),"","&lt;b&gt;")</f>
        <v/>
      </c>
      <c r="AE40" s="51" t="inlineStr">
        <is>
          <t>03/06</t>
        </is>
      </c>
      <c r="AF40" s="42">
        <f>IF(ISBLANK(AE40),"",": ")</f>
        <v/>
      </c>
      <c r="AG40" s="42" t="inlineStr">
        <is>
          <t>House Vote 48-22</t>
        </is>
      </c>
      <c r="AH40" s="42">
        <f>IF(ISBLANK(AE40),"","&lt;/b&gt;")</f>
        <v/>
      </c>
      <c r="AI40" s="42" t="inlineStr">
        <is>
          <t>03/02: Senate Vote 18-17&lt;br&gt;02/06: FY26 holdback (-4%)</t>
        </is>
      </c>
      <c r="AJ40" s="42">
        <f>IF(ISBLANK(AI40),"","&lt;br&gt;"&amp;AI40)</f>
        <v/>
      </c>
      <c r="AK40" s="4" t="inlineStr">
        <is>
          <t>&lt;br&gt;</t>
        </is>
      </c>
      <c r="AL40" s="42" t="inlineStr">
        <is>
          <t>&lt;b&gt;&lt;i&gt;</t>
        </is>
      </c>
      <c r="AM40" s="42" t="inlineStr">
        <is>
          <t>Governor's 3% + JFAC's 1%</t>
        </is>
      </c>
      <c r="AN40" s="42">
        <f>IF(ISBLANK(AM40),"","&lt;/i&gt;")</f>
        <v/>
      </c>
      <c r="AO40" s="35">
        <f>IF(ISBLANK(AQ40),"","&lt;/b&gt;&lt;br&gt;&lt;br&gt;")</f>
        <v/>
      </c>
      <c r="AP40" s="42">
        <f>IF(ISBLANK(AQ40),"","&lt;b&gt;")</f>
        <v/>
      </c>
      <c r="AQ40" s="47" t="inlineStr">
        <is>
          <t xml:space="preserve">Agency Reduction Plan:&lt;br&gt;Additional </t>
        </is>
      </c>
      <c r="AR40" s="42" t="inlineStr">
        <is>
          <t>1</t>
        </is>
      </c>
      <c r="AS40" s="4">
        <f>IF(ISBLANK(AR40),""," %")</f>
        <v/>
      </c>
      <c r="AT40" s="4">
        <f t="array" ref="AT40">_xlfn.IFS(NOT(ISBLANK(AU40))," (pgs. ",NOT(ISBLANK(AS40))," (pg. ", ISBLANK(AS40), "")</f>
        <v/>
      </c>
      <c r="AU40" s="52" t="n">
        <v>187</v>
      </c>
      <c r="AV40" s="4">
        <f>IF(ISBLANK(AW40),"",", ")</f>
        <v/>
      </c>
      <c r="AW40" s="42" t="n"/>
      <c r="AX40" s="4">
        <f>IF(ISBLANK(AY40),"",",&lt;br&gt;")</f>
        <v/>
      </c>
      <c r="AY40" s="42" t="n"/>
      <c r="AZ40" s="49">
        <f>IF(ISBLANK(AU40),"",")&lt;/b&gt;")</f>
        <v/>
      </c>
      <c r="BA40" s="4">
        <f>IF(ISBLANK(BC40),"","&lt;br&gt;")</f>
        <v/>
      </c>
      <c r="BB40" s="42">
        <f t="array" ref="BB40">IF(ISBLANK(BC40),"",_xlfn.LET(
_xlpm.words,_xlfn.TEXTSPLIT(TRIM(BC40),"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40" s="50" t="inlineStr">
        <is>
          <t>An additional 1% decrease ($43,600) to COPP’s budget will require COPP to furlough all staff for five days. As a result of the furlough, the State will incur $532,800 in incarceration costs. Furloughing all positions will reduce the number of parole and violation hearings completed. Resulting in longer inmate housing stays. This will result in a greater burden on the prison system, which is already over the maximum population occupancies, which will leads to more inmates in county jails and out of state prisons.</t>
        </is>
      </c>
    </row>
    <row r="41">
      <c r="A41" s="20">
        <f>_xlfn.TEXTJOIN("", TRUE, F41:H41)</f>
        <v/>
      </c>
      <c r="B41" s="21">
        <f>_xlfn.TEXTJOIN("", TRUE, I41:S41)</f>
        <v/>
      </c>
      <c r="C41" s="21">
        <f>IF(ISBLANK(X41),"", _xlfn.TEXTJOIN("",TRUE,T41:Z41))</f>
        <v/>
      </c>
      <c r="D41" s="21">
        <f>IF(ISBLANK(AB41), "", _xlfn.TEXTJOIN("", TRUE, AA41:AC41))</f>
        <v/>
      </c>
      <c r="E41" s="22">
        <f>IF(AU41="NA", _xlfn.TEXTJOIN("", TRUE, AD41:AH41), _xlfn.TEXTJOIN("", TRUE, AD41:AJ41))</f>
        <v/>
      </c>
      <c r="F41" s="42">
        <f>IF(LEFT(G41,4)="FY26","&lt;b&gt;","&lt;i&gt;")</f>
        <v/>
      </c>
      <c r="G41" s="42" t="inlineStr">
        <is>
          <t>FY26 Reduction</t>
        </is>
      </c>
      <c r="H41" s="42">
        <f>IF(LEFT(G41,4)="FY26","&lt;/b&gt;","&lt;/i&gt;")</f>
        <v/>
      </c>
      <c r="I41" s="43" t="inlineStr">
        <is>
          <t>&lt;i&gt;</t>
        </is>
      </c>
      <c r="J41" s="44" t="inlineStr">
        <is>
          <t>Economic Development</t>
        </is>
      </c>
      <c r="K41" s="44" t="inlineStr">
        <is>
          <t>&lt;/i&gt;</t>
        </is>
      </c>
      <c r="L41" s="4">
        <f>IF(ISBLANK(N41),"","&lt;br&gt;")</f>
        <v/>
      </c>
      <c r="M41" s="42">
        <f>IF(ISBLANK(R41),"&lt;b&gt;","&lt;i&gt;")</f>
        <v/>
      </c>
      <c r="N41" s="42" t="inlineStr">
        <is>
          <t>Dept. of Self-Governing Agencies</t>
        </is>
      </c>
      <c r="O41" s="42">
        <f>IF(ISBLANK(R41),"&lt;/b&gt;","&lt;/i&gt;")</f>
        <v/>
      </c>
      <c r="P41" s="4">
        <f>IF(ISBLANK(R41),"","&lt;br&gt;")</f>
        <v/>
      </c>
      <c r="Q41" s="42">
        <f>IF(ISBLANK(R41),"","&lt;b&gt;")</f>
        <v/>
      </c>
      <c r="R41" s="42" t="inlineStr">
        <is>
          <t>Comm. on Hispanic Affairs</t>
        </is>
      </c>
      <c r="S41" s="42">
        <f>IF(ISBLANK(R41),"","&lt;/i&gt;")</f>
        <v/>
      </c>
      <c r="T41" s="43">
        <f>IF(ISBLANK(X41),"",IF(OR(AB41="PASSED",ISBLANK(N41)),"&lt;b&gt;","&lt;i&gt;"))</f>
        <v/>
      </c>
      <c r="U41" s="3">
        <f>IF(ISBLANK(V41),"","&lt;a href='")</f>
        <v/>
      </c>
      <c r="V41" s="39" t="inlineStr">
        <is>
          <t>https://legislature.idaho.gov/sessioninfo/2026/legislation/S1331/</t>
        </is>
      </c>
      <c r="W41" s="17">
        <f>IF(ISBLANK(V41),"","'&gt;")</f>
        <v/>
      </c>
      <c r="X41" s="12" t="inlineStr">
        <is>
          <t>Senate Bill 1331</t>
        </is>
      </c>
      <c r="Y41" s="17">
        <f>IF(ISBLANK(X41),"","&lt;/a&gt;")</f>
        <v/>
      </c>
      <c r="Z41" s="42">
        <f>IF(ISBLANK(X41),"",IF(OR(AB41="PASSED",ISBLANK(N41)),"&lt;/b&gt;","&lt;/i&gt;"))</f>
        <v/>
      </c>
      <c r="AA41" s="43">
        <f>IF(AB41="PASSED","&lt;b&gt;","")</f>
        <v/>
      </c>
      <c r="AB41" s="45" t="inlineStr">
        <is>
          <t>PASSED</t>
        </is>
      </c>
      <c r="AC41" s="43">
        <f>IF(AB41="PASSED","&lt;/b&gt;","")</f>
        <v/>
      </c>
      <c r="AD41" s="43">
        <f>IF(ISBLANK(AE41),"","&lt;b&gt;")</f>
        <v/>
      </c>
      <c r="AE41" s="51" t="inlineStr">
        <is>
          <t>03/06</t>
        </is>
      </c>
      <c r="AF41" s="42">
        <f>IF(ISBLANK(AE41),"",": ")</f>
        <v/>
      </c>
      <c r="AG41" s="42" t="inlineStr">
        <is>
          <t>House Vote 48-22</t>
        </is>
      </c>
      <c r="AH41" s="42">
        <f>IF(ISBLANK(AE41),"","&lt;/b&gt;")</f>
        <v/>
      </c>
      <c r="AI41" s="42" t="inlineStr">
        <is>
          <t>03/02: Senate Vote 18-17&lt;br&gt;02/06: FY26 holdback (-4%)</t>
        </is>
      </c>
      <c r="AJ41" s="42">
        <f>IF(ISBLANK(AI41),"","&lt;br&gt;"&amp;AI41)</f>
        <v/>
      </c>
      <c r="AK41" s="4" t="inlineStr">
        <is>
          <t>&lt;br&gt;</t>
        </is>
      </c>
      <c r="AL41" s="42" t="inlineStr">
        <is>
          <t>&lt;b&gt;&lt;i&gt;</t>
        </is>
      </c>
      <c r="AM41" s="42" t="inlineStr">
        <is>
          <t>Governor's 3% + JFAC's 1%</t>
        </is>
      </c>
      <c r="AN41" s="42">
        <f>IF(ISBLANK(AM41),"","&lt;/i&gt;")</f>
        <v/>
      </c>
      <c r="AO41" s="35">
        <f>IF(ISBLANK(AQ41),"","&lt;/b&gt;&lt;br&gt;&lt;br&gt;")</f>
        <v/>
      </c>
      <c r="AP41" s="42">
        <f>IF(ISBLANK(AQ41),"","&lt;b&gt;")</f>
        <v/>
      </c>
      <c r="AQ41" s="47" t="inlineStr">
        <is>
          <t xml:space="preserve">Agency Reduction Plan:&lt;br&gt;Additional </t>
        </is>
      </c>
      <c r="AR41" s="42" t="inlineStr">
        <is>
          <t>1</t>
        </is>
      </c>
      <c r="AS41" s="4">
        <f>IF(ISBLANK(AR41),""," %")</f>
        <v/>
      </c>
      <c r="AT41" s="4">
        <f t="array" ref="AT41">_xlfn.IFS(NOT(ISBLANK(AU41))," (pgs. ",NOT(ISBLANK(AS41))," (pg. ", ISBLANK(AS41), "")</f>
        <v/>
      </c>
      <c r="AU41" s="52" t="n">
        <v>155</v>
      </c>
      <c r="AV41" s="4">
        <f>IF(ISBLANK(AW41),"",", ")</f>
        <v/>
      </c>
      <c r="AW41" s="42" t="n"/>
      <c r="AX41" s="4">
        <f>IF(ISBLANK(AY41),"",",&lt;br&gt;")</f>
        <v/>
      </c>
      <c r="AY41" s="42" t="n"/>
      <c r="AZ41" s="49">
        <f>IF(ISBLANK(AU41),"",")&lt;/b&gt;")</f>
        <v/>
      </c>
      <c r="BA41" s="4">
        <f>IF(ISBLANK(BC41),"","&lt;br&gt;")</f>
        <v/>
      </c>
      <c r="BB41" s="42">
        <f t="array" ref="BB41">IF(ISBLANK(BC41),"",_xlfn.LET(
_xlpm.words,_xlfn.TEXTSPLIT(TRIM(BC41),"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41" s="50" t="inlineStr">
        <is>
          <t>The impact of these budget reductions will require a more deliberate and strategic effort to increase the amount of funds raised for our Dedicated Fund.</t>
        </is>
      </c>
    </row>
    <row r="42">
      <c r="A42" s="20">
        <f>_xlfn.TEXTJOIN("", TRUE, F42:H42)</f>
        <v/>
      </c>
      <c r="B42" s="21">
        <f>_xlfn.TEXTJOIN("", TRUE, I42:S42)</f>
        <v/>
      </c>
      <c r="C42" s="21">
        <f>IF(ISBLANK(X42),"", _xlfn.TEXTJOIN("",TRUE,T42:Z42))</f>
        <v/>
      </c>
      <c r="D42" s="21">
        <f>IF(ISBLANK(AB42), "", _xlfn.TEXTJOIN("", TRUE, AA42:AC42))</f>
        <v/>
      </c>
      <c r="E42" s="22">
        <f>IF(AU42="NA", _xlfn.TEXTJOIN("", TRUE, AD42:AH42), _xlfn.TEXTJOIN("", TRUE, AD42:AJ42))</f>
        <v/>
      </c>
      <c r="F42" s="42">
        <f>IF(LEFT(G42,4)="FY26","&lt;b&gt;","&lt;i&gt;")</f>
        <v/>
      </c>
      <c r="G42" s="42" t="inlineStr">
        <is>
          <t>FY26 Reduction</t>
        </is>
      </c>
      <c r="H42" s="42">
        <f>IF(LEFT(G42,4)="FY26","&lt;/b&gt;","&lt;/i&gt;")</f>
        <v/>
      </c>
      <c r="I42" s="43" t="inlineStr">
        <is>
          <t>&lt;i&gt;</t>
        </is>
      </c>
      <c r="J42" s="44" t="inlineStr">
        <is>
          <t>Economic Development</t>
        </is>
      </c>
      <c r="K42" s="44" t="inlineStr">
        <is>
          <t>&lt;/i&gt;</t>
        </is>
      </c>
      <c r="L42" s="4">
        <f>IF(ISBLANK(N42),"","&lt;br&gt;")</f>
        <v/>
      </c>
      <c r="M42" s="42">
        <f>IF(ISBLANK(R42),"&lt;b&gt;","&lt;i&gt;")</f>
        <v/>
      </c>
      <c r="N42" s="42" t="inlineStr">
        <is>
          <t>Dept. of Self-Governing Agencies</t>
        </is>
      </c>
      <c r="O42" s="42">
        <f>IF(ISBLANK(R42),"&lt;/b&gt;","&lt;/i&gt;")</f>
        <v/>
      </c>
      <c r="P42" s="4">
        <f>IF(ISBLANK(R42),"","&lt;br&gt;")</f>
        <v/>
      </c>
      <c r="Q42" s="42">
        <f>IF(ISBLANK(R42),"","&lt;b&gt;")</f>
        <v/>
      </c>
      <c r="R42" s="42" t="inlineStr">
        <is>
          <t>Div. of Occupational &amp; Professional Licenses</t>
        </is>
      </c>
      <c r="S42" s="42">
        <f>IF(ISBLANK(R42),"","&lt;/i&gt;")</f>
        <v/>
      </c>
      <c r="T42" s="43">
        <f>IF(ISBLANK(X42),"",IF(OR(AB42="PASSED",ISBLANK(N42)),"&lt;b&gt;","&lt;i&gt;"))</f>
        <v/>
      </c>
      <c r="U42" s="3">
        <f>IF(ISBLANK(V42),"","&lt;a href='")</f>
        <v/>
      </c>
      <c r="V42" s="39" t="inlineStr">
        <is>
          <t>https://legislature.idaho.gov/sessioninfo/2026/legislation/S1331/</t>
        </is>
      </c>
      <c r="W42" s="17">
        <f>IF(ISBLANK(V42),"","'&gt;")</f>
        <v/>
      </c>
      <c r="X42" s="12" t="inlineStr">
        <is>
          <t>Senate Bill 1331</t>
        </is>
      </c>
      <c r="Y42" s="17">
        <f>IF(ISBLANK(X42),"","&lt;/a&gt;")</f>
        <v/>
      </c>
      <c r="Z42" s="42">
        <f>IF(ISBLANK(X42),"",IF(OR(AB42="PASSED",ISBLANK(N42)),"&lt;/b&gt;","&lt;/i&gt;"))</f>
        <v/>
      </c>
      <c r="AA42" s="43">
        <f>IF(AB42="PASSED","&lt;b&gt;","")</f>
        <v/>
      </c>
      <c r="AB42" s="45" t="inlineStr">
        <is>
          <t>PASSED</t>
        </is>
      </c>
      <c r="AC42" s="43">
        <f>IF(AB42="PASSED","&lt;/b&gt;","")</f>
        <v/>
      </c>
      <c r="AD42" s="43">
        <f>IF(ISBLANK(AE42),"","&lt;b&gt;")</f>
        <v/>
      </c>
      <c r="AE42" s="51" t="inlineStr">
        <is>
          <t>03/06</t>
        </is>
      </c>
      <c r="AF42" s="42">
        <f>IF(ISBLANK(AE42),"",": ")</f>
        <v/>
      </c>
      <c r="AG42" s="42" t="inlineStr">
        <is>
          <t>House Vote 48-22</t>
        </is>
      </c>
      <c r="AH42" s="42">
        <f>IF(ISBLANK(AE42),"","&lt;/b&gt;")</f>
        <v/>
      </c>
      <c r="AI42" s="42" t="inlineStr">
        <is>
          <t>03/02: Senate Vote 18-17&lt;br&gt;02/06: FY26 holdback (-4%)</t>
        </is>
      </c>
      <c r="AJ42" s="42">
        <f>IF(ISBLANK(AI42),"","&lt;br&gt;"&amp;AI42)</f>
        <v/>
      </c>
      <c r="AK42" s="4" t="inlineStr">
        <is>
          <t>&lt;br&gt;</t>
        </is>
      </c>
      <c r="AL42" s="42" t="inlineStr">
        <is>
          <t>&lt;b&gt;&lt;i&gt;</t>
        </is>
      </c>
      <c r="AM42" s="42" t="inlineStr">
        <is>
          <t>Governor's 3% + JFAC's 1%</t>
        </is>
      </c>
      <c r="AN42" s="42">
        <f>IF(ISBLANK(AM42),"","&lt;/i&gt;")</f>
        <v/>
      </c>
      <c r="AO42" s="35">
        <f>IF(ISBLANK(AQ42),"","&lt;/b&gt;&lt;br&gt;&lt;br&gt;")</f>
        <v/>
      </c>
      <c r="AP42" s="42">
        <f>IF(ISBLANK(AQ42),"","&lt;b&gt;")</f>
        <v/>
      </c>
      <c r="AQ42" s="47" t="inlineStr">
        <is>
          <t xml:space="preserve">Agency Reduction Plan:&lt;br&gt;Additional </t>
        </is>
      </c>
      <c r="AR42" s="42" t="inlineStr">
        <is>
          <t>1</t>
        </is>
      </c>
      <c r="AS42" s="4">
        <f>IF(ISBLANK(AR42),""," %")</f>
        <v/>
      </c>
      <c r="AT42" s="4">
        <f t="array" ref="AT42">_xlfn.IFS(NOT(ISBLANK(AU42))," (pgs. ",NOT(ISBLANK(AS42))," (pg. ", ISBLANK(AS42), "")</f>
        <v/>
      </c>
      <c r="AU42" s="52" t="inlineStr">
        <is>
          <t>NA</t>
        </is>
      </c>
      <c r="AV42" s="4">
        <f>IF(ISBLANK(AW42),"",", ")</f>
        <v/>
      </c>
      <c r="AW42" s="42" t="n"/>
      <c r="AX42" s="4">
        <f>IF(ISBLANK(AY42),"",",&lt;br&gt;")</f>
        <v/>
      </c>
      <c r="AY42" s="42" t="n"/>
      <c r="AZ42" s="49">
        <f>IF(ISBLANK(AU42),"",")&lt;/b&gt;")</f>
        <v/>
      </c>
      <c r="BA42" s="4">
        <f>IF(ISBLANK(BC42),"","&lt;br&gt;")</f>
        <v/>
      </c>
      <c r="BB42" s="42">
        <f t="array" ref="BB42">IF(ISBLANK(BC42),"",_xlfn.LET(
_xlpm.words,_xlfn.TEXTSPLIT(TRIM(BC42),"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42" s="50" t="n"/>
    </row>
    <row r="43">
      <c r="A43" s="20">
        <f>_xlfn.TEXTJOIN("", TRUE, F43:H43)</f>
        <v/>
      </c>
      <c r="B43" s="21">
        <f>_xlfn.TEXTJOIN("", TRUE, I43:S43)</f>
        <v/>
      </c>
      <c r="C43" s="21">
        <f>IF(ISBLANK(X43),"", _xlfn.TEXTJOIN("",TRUE,T43:Z43))</f>
        <v/>
      </c>
      <c r="D43" s="21">
        <f>IF(ISBLANK(AB43), "", _xlfn.TEXTJOIN("", TRUE, AA43:AC43))</f>
        <v/>
      </c>
      <c r="E43" s="22">
        <f>IF(AU43="NA", _xlfn.TEXTJOIN("", TRUE, AD43:AH43), _xlfn.TEXTJOIN("", TRUE, AD43:AJ43))</f>
        <v/>
      </c>
      <c r="F43" s="42">
        <f>IF(LEFT(G43,4)="FY26","&lt;b&gt;","&lt;i&gt;")</f>
        <v/>
      </c>
      <c r="G43" s="42" t="inlineStr">
        <is>
          <t>FY26 Reduction</t>
        </is>
      </c>
      <c r="H43" s="42">
        <f>IF(LEFT(G43,4)="FY26","&lt;/b&gt;","&lt;/i&gt;")</f>
        <v/>
      </c>
      <c r="I43" s="43" t="inlineStr">
        <is>
          <t>&lt;i&gt;</t>
        </is>
      </c>
      <c r="J43" s="44" t="inlineStr">
        <is>
          <t>Economic Development</t>
        </is>
      </c>
      <c r="K43" s="44" t="inlineStr">
        <is>
          <t>&lt;/i&gt;</t>
        </is>
      </c>
      <c r="L43" s="4">
        <f>IF(ISBLANK(N43),"","&lt;br&gt;")</f>
        <v/>
      </c>
      <c r="M43" s="42">
        <f>IF(ISBLANK(R43),"&lt;b&gt;","&lt;i&gt;")</f>
        <v/>
      </c>
      <c r="N43" s="42" t="inlineStr">
        <is>
          <t>Dept. of Self-Governing Agencies</t>
        </is>
      </c>
      <c r="O43" s="42">
        <f>IF(ISBLANK(R43),"&lt;/b&gt;","&lt;/i&gt;")</f>
        <v/>
      </c>
      <c r="P43" s="4">
        <f>IF(ISBLANK(R43),"","&lt;br&gt;")</f>
        <v/>
      </c>
      <c r="Q43" s="42">
        <f>IF(ISBLANK(R43),"","&lt;b&gt;")</f>
        <v/>
      </c>
      <c r="R43" s="42" t="inlineStr">
        <is>
          <t>Div. of Veterans Services</t>
        </is>
      </c>
      <c r="S43" s="42">
        <f>IF(ISBLANK(R43),"","&lt;/i&gt;")</f>
        <v/>
      </c>
      <c r="T43" s="43">
        <f>IF(ISBLANK(X43),"",IF(OR(AB43="PASSED",ISBLANK(N43)),"&lt;b&gt;","&lt;i&gt;"))</f>
        <v/>
      </c>
      <c r="U43" s="3">
        <f>IF(ISBLANK(V43),"","&lt;a href='")</f>
        <v/>
      </c>
      <c r="V43" s="39" t="inlineStr">
        <is>
          <t>https://legislature.idaho.gov/sessioninfo/2026/legislation/S1331/</t>
        </is>
      </c>
      <c r="W43" s="17">
        <f>IF(ISBLANK(V43),"","'&gt;")</f>
        <v/>
      </c>
      <c r="X43" s="12" t="inlineStr">
        <is>
          <t>Senate Bill 1331</t>
        </is>
      </c>
      <c r="Y43" s="17">
        <f>IF(ISBLANK(X43),"","&lt;/a&gt;")</f>
        <v/>
      </c>
      <c r="Z43" s="42">
        <f>IF(ISBLANK(X43),"",IF(OR(AB43="PASSED",ISBLANK(N43)),"&lt;/b&gt;","&lt;/i&gt;"))</f>
        <v/>
      </c>
      <c r="AA43" s="43">
        <f>IF(AB43="PASSED","&lt;b&gt;","")</f>
        <v/>
      </c>
      <c r="AB43" s="45" t="inlineStr">
        <is>
          <t>PASSED</t>
        </is>
      </c>
      <c r="AC43" s="43">
        <f>IF(AB43="PASSED","&lt;/b&gt;","")</f>
        <v/>
      </c>
      <c r="AD43" s="43">
        <f>IF(ISBLANK(AE43),"","&lt;b&gt;")</f>
        <v/>
      </c>
      <c r="AE43" s="51" t="inlineStr">
        <is>
          <t>03/06</t>
        </is>
      </c>
      <c r="AF43" s="42">
        <f>IF(ISBLANK(AE43),"",": ")</f>
        <v/>
      </c>
      <c r="AG43" s="42" t="inlineStr">
        <is>
          <t>House Vote 48-22</t>
        </is>
      </c>
      <c r="AH43" s="42">
        <f>IF(ISBLANK(AE43),"","&lt;/b&gt;")</f>
        <v/>
      </c>
      <c r="AI43" s="42" t="inlineStr">
        <is>
          <t>03/02: Senate Vote 18-17&lt;br&gt;02/06: FY26 holdback (-4%)</t>
        </is>
      </c>
      <c r="AJ43" s="42">
        <f>IF(ISBLANK(AI43),"","&lt;br&gt;"&amp;AI43)</f>
        <v/>
      </c>
      <c r="AK43" s="4" t="inlineStr">
        <is>
          <t>&lt;br&gt;</t>
        </is>
      </c>
      <c r="AL43" s="42" t="inlineStr">
        <is>
          <t>&lt;b&gt;&lt;i&gt;</t>
        </is>
      </c>
      <c r="AM43" s="42" t="inlineStr">
        <is>
          <t>Governor's 3% + JFAC's 1%</t>
        </is>
      </c>
      <c r="AN43" s="42">
        <f>IF(ISBLANK(AM43),"","&lt;/i&gt;")</f>
        <v/>
      </c>
      <c r="AO43" s="35">
        <f>IF(ISBLANK(AQ43),"","&lt;/b&gt;&lt;br&gt;&lt;br&gt;")</f>
        <v/>
      </c>
      <c r="AP43" s="42">
        <f>IF(ISBLANK(AQ43),"","&lt;b&gt;")</f>
        <v/>
      </c>
      <c r="AQ43" s="47" t="inlineStr">
        <is>
          <t xml:space="preserve">Agency Reduction Plan:&lt;br&gt;Additional </t>
        </is>
      </c>
      <c r="AR43" s="42" t="inlineStr">
        <is>
          <t>1</t>
        </is>
      </c>
      <c r="AS43" s="4">
        <f>IF(ISBLANK(AR43),""," %")</f>
        <v/>
      </c>
      <c r="AT43" s="4">
        <f t="array" ref="AT43">_xlfn.IFS(NOT(ISBLANK(AU43))," (pgs. ",NOT(ISBLANK(AS43))," (pg. ", ISBLANK(AS43), "")</f>
        <v/>
      </c>
      <c r="AU43" s="52" t="n">
        <v>167</v>
      </c>
      <c r="AV43" s="4">
        <f>IF(ISBLANK(AW43),"",", ")</f>
        <v/>
      </c>
      <c r="AW43" s="42" t="n"/>
      <c r="AX43" s="4">
        <f>IF(ISBLANK(AY43),"",",&lt;br&gt;")</f>
        <v/>
      </c>
      <c r="AY43" s="42" t="n"/>
      <c r="AZ43" s="49">
        <f>IF(ISBLANK(AU43),"",")&lt;/b&gt;")</f>
        <v/>
      </c>
      <c r="BA43" s="4">
        <f>IF(ISBLANK(BC43),"","&lt;br&gt;")</f>
        <v/>
      </c>
      <c r="BB43" s="42">
        <f t="array" ref="BB43">IF(ISBLANK(BC43),"",_xlfn.LET(
_xlpm.words,_xlfn.TEXTSPLIT(TRIM(BC43),"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43" s="50" t="inlineStr">
        <is>
          <t>FY 26 Salary savings from vacant Cemetery Boise caretaker</t>
        </is>
      </c>
    </row>
    <row r="44">
      <c r="A44" s="20">
        <f>_xlfn.TEXTJOIN("", TRUE, F44:H44)</f>
        <v/>
      </c>
      <c r="B44" s="21">
        <f>_xlfn.TEXTJOIN("", TRUE, I44:S44)</f>
        <v/>
      </c>
      <c r="C44" s="21">
        <f>IF(ISBLANK(X44),"", _xlfn.TEXTJOIN("",TRUE,T44:Z44))</f>
        <v/>
      </c>
      <c r="D44" s="21">
        <f>IF(ISBLANK(AB44), "", _xlfn.TEXTJOIN("", TRUE, AA44:AC44))</f>
        <v/>
      </c>
      <c r="E44" s="22">
        <f>IF(AU44="NA", _xlfn.TEXTJOIN("", TRUE, AD44:AH44), _xlfn.TEXTJOIN("", TRUE, AD44:AJ44))</f>
        <v/>
      </c>
      <c r="F44" s="42">
        <f>IF(LEFT(G44,4)="FY26","&lt;b&gt;","&lt;i&gt;")</f>
        <v/>
      </c>
      <c r="G44" s="42" t="inlineStr">
        <is>
          <t>FY26 Reduction</t>
        </is>
      </c>
      <c r="H44" s="42">
        <f>IF(LEFT(G44,4)="FY26","&lt;/b&gt;","&lt;/i&gt;")</f>
        <v/>
      </c>
      <c r="I44" s="43" t="inlineStr">
        <is>
          <t>&lt;i&gt;</t>
        </is>
      </c>
      <c r="J44" s="44" t="inlineStr">
        <is>
          <t>Economic Development</t>
        </is>
      </c>
      <c r="K44" s="44" t="inlineStr">
        <is>
          <t>&lt;/i&gt;</t>
        </is>
      </c>
      <c r="L44" s="4">
        <f>IF(ISBLANK(N44),"","&lt;br&gt;")</f>
        <v/>
      </c>
      <c r="M44" s="42">
        <f>IF(ISBLANK(R44),"&lt;b&gt;","&lt;i&gt;")</f>
        <v/>
      </c>
      <c r="N44" s="42" t="inlineStr">
        <is>
          <t>Dept. of Self-Governing Agencies</t>
        </is>
      </c>
      <c r="O44" s="42">
        <f>IF(ISBLANK(R44),"&lt;/b&gt;","&lt;/i&gt;")</f>
        <v/>
      </c>
      <c r="P44" s="4">
        <f>IF(ISBLANK(R44),"","&lt;br&gt;")</f>
        <v/>
      </c>
      <c r="Q44" s="42">
        <f>IF(ISBLANK(R44),"","&lt;b&gt;")</f>
        <v/>
      </c>
      <c r="R44" s="42" t="inlineStr">
        <is>
          <t>Office of Administrative Hearings</t>
        </is>
      </c>
      <c r="S44" s="42">
        <f>IF(ISBLANK(R44),"","&lt;/i&gt;")</f>
        <v/>
      </c>
      <c r="T44" s="43">
        <f>IF(ISBLANK(X44),"",IF(OR(AB44="PASSED",ISBLANK(N44)),"&lt;b&gt;","&lt;i&gt;"))</f>
        <v/>
      </c>
      <c r="U44" s="3">
        <f>IF(ISBLANK(V44),"","&lt;a href='")</f>
        <v/>
      </c>
      <c r="V44" s="39" t="inlineStr">
        <is>
          <t>https://legislature.idaho.gov/sessioninfo/2026/legislation/S1331/</t>
        </is>
      </c>
      <c r="W44" s="17">
        <f>IF(ISBLANK(V44),"","'&gt;")</f>
        <v/>
      </c>
      <c r="X44" s="12" t="inlineStr">
        <is>
          <t>Senate Bill 1331</t>
        </is>
      </c>
      <c r="Y44" s="17">
        <f>IF(ISBLANK(X44),"","&lt;/a&gt;")</f>
        <v/>
      </c>
      <c r="Z44" s="42">
        <f>IF(ISBLANK(X44),"",IF(OR(AB44="PASSED",ISBLANK(N44)),"&lt;/b&gt;","&lt;/i&gt;"))</f>
        <v/>
      </c>
      <c r="AA44" s="43">
        <f>IF(AB44="PASSED","&lt;b&gt;","")</f>
        <v/>
      </c>
      <c r="AB44" s="45" t="inlineStr">
        <is>
          <t>PASSED</t>
        </is>
      </c>
      <c r="AC44" s="43">
        <f>IF(AB44="PASSED","&lt;/b&gt;","")</f>
        <v/>
      </c>
      <c r="AD44" s="43">
        <f>IF(ISBLANK(AE44),"","&lt;b&gt;")</f>
        <v/>
      </c>
      <c r="AE44" s="51" t="inlineStr">
        <is>
          <t>03/06</t>
        </is>
      </c>
      <c r="AF44" s="42">
        <f>IF(ISBLANK(AE44),"",": ")</f>
        <v/>
      </c>
      <c r="AG44" s="42" t="inlineStr">
        <is>
          <t>House Vote 48-22</t>
        </is>
      </c>
      <c r="AH44" s="42">
        <f>IF(ISBLANK(AE44),"","&lt;/b&gt;")</f>
        <v/>
      </c>
      <c r="AI44" s="42" t="inlineStr">
        <is>
          <t>03/02: Senate Vote 18-17&lt;br&gt;02/06: FY26 holdback (-4%)</t>
        </is>
      </c>
      <c r="AJ44" s="42">
        <f>IF(ISBLANK(AI44),"","&lt;br&gt;"&amp;AI44)</f>
        <v/>
      </c>
      <c r="AK44" s="4" t="inlineStr">
        <is>
          <t>&lt;br&gt;</t>
        </is>
      </c>
      <c r="AL44" s="42" t="inlineStr">
        <is>
          <t>&lt;b&gt;&lt;i&gt;</t>
        </is>
      </c>
      <c r="AM44" s="42" t="inlineStr">
        <is>
          <t>Governor's 3% + JFAC's 1%</t>
        </is>
      </c>
      <c r="AN44" s="42">
        <f>IF(ISBLANK(AM44),"","&lt;/i&gt;")</f>
        <v/>
      </c>
      <c r="AO44" s="35">
        <f>IF(ISBLANK(AQ44),"","&lt;/b&gt;&lt;br&gt;&lt;br&gt;")</f>
        <v/>
      </c>
      <c r="AP44" s="42">
        <f>IF(ISBLANK(AQ44),"","&lt;b&gt;")</f>
        <v/>
      </c>
      <c r="AQ44" s="47" t="inlineStr">
        <is>
          <t xml:space="preserve">Agency Reduction Plan:&lt;br&gt;Additional </t>
        </is>
      </c>
      <c r="AR44" s="42" t="inlineStr">
        <is>
          <t>1</t>
        </is>
      </c>
      <c r="AS44" s="4">
        <f>IF(ISBLANK(AR44),""," %")</f>
        <v/>
      </c>
      <c r="AT44" s="4">
        <f t="array" ref="AT44">_xlfn.IFS(NOT(ISBLANK(AU44))," (pgs. ",NOT(ISBLANK(AS44))," (pg. ", ISBLANK(AS44), "")</f>
        <v/>
      </c>
      <c r="AU44" s="52" t="n">
        <v>176</v>
      </c>
      <c r="AV44" s="4">
        <f>IF(ISBLANK(AW44),"",", ")</f>
        <v/>
      </c>
      <c r="AW44" s="42" t="n"/>
      <c r="AX44" s="4">
        <f>IF(ISBLANK(AY44),"",",&lt;br&gt;")</f>
        <v/>
      </c>
      <c r="AY44" s="42" t="n"/>
      <c r="AZ44" s="49">
        <f>IF(ISBLANK(AU44),"",")&lt;/b&gt;")</f>
        <v/>
      </c>
      <c r="BA44" s="4">
        <f>IF(ISBLANK(BC44),"","&lt;br&gt;")</f>
        <v/>
      </c>
      <c r="BB44" s="42">
        <f t="array" ref="BB44">IF(ISBLANK(BC44),"",_xlfn.LET(
_xlpm.words,_xlfn.TEXTSPLIT(TRIM(BC44),"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44" s="50" t="inlineStr">
        <is>
          <t>OAH is all but financially precluded from utilizing existing DHR-allowed recruitment and retention bonuses. In the same vein, given these salary challenges, even the potential for furloughs creates retention insecurities, as ALJs may seek more secure, higher-paying positions elsewhere, degrading OAH’s ability to handle contested case proceedings. Moreover, OAH has a strict “no overtime” policy due to overtime-payout implications. In light of these challenges, a(nother) departure of an ALJ would likely require lagging the hire to preserve personnel dollars, which would, in turn, result in higher caseloads and increased delays in hearing/decision times for existing cases. These delays would not be insignificant, and would create significant due process issues.</t>
        </is>
      </c>
    </row>
    <row r="45">
      <c r="A45" s="20">
        <f>_xlfn.TEXTJOIN("", TRUE, F45:H45)</f>
        <v/>
      </c>
      <c r="B45" s="21">
        <f>_xlfn.TEXTJOIN("", TRUE, I45:S45)</f>
        <v/>
      </c>
      <c r="C45" s="21">
        <f>IF(ISBLANK(X45),"", _xlfn.TEXTJOIN("",TRUE,T45:Z45))</f>
        <v/>
      </c>
      <c r="D45" s="21">
        <f>IF(ISBLANK(AB45), "", _xlfn.TEXTJOIN("", TRUE, AA45:AC45))</f>
        <v/>
      </c>
      <c r="E45" s="22">
        <f>IF(AU45="NA", _xlfn.TEXTJOIN("", TRUE, AD45:AH45), _xlfn.TEXTJOIN("", TRUE, AD45:AJ45))</f>
        <v/>
      </c>
      <c r="F45" s="42">
        <f>IF(LEFT(G45,4)="FY26","&lt;b&gt;","&lt;i&gt;")</f>
        <v/>
      </c>
      <c r="G45" s="42" t="inlineStr">
        <is>
          <t>FY26 Reduction</t>
        </is>
      </c>
      <c r="H45" s="42">
        <f>IF(LEFT(G45,4)="FY26","&lt;/b&gt;","&lt;/i&gt;")</f>
        <v/>
      </c>
      <c r="I45" s="43" t="inlineStr">
        <is>
          <t>&lt;i&gt;</t>
        </is>
      </c>
      <c r="J45" s="44" t="inlineStr">
        <is>
          <t>Economic Development</t>
        </is>
      </c>
      <c r="K45" s="44" t="inlineStr">
        <is>
          <t>&lt;/i&gt;</t>
        </is>
      </c>
      <c r="L45" s="4">
        <f>IF(ISBLANK(N45),"","&lt;br&gt;")</f>
        <v/>
      </c>
      <c r="M45" s="42">
        <f>IF(ISBLANK(R45),"&lt;b&gt;","&lt;i&gt;")</f>
        <v/>
      </c>
      <c r="N45" s="42" t="inlineStr">
        <is>
          <t>Dept. of Self-Governing Agencies</t>
        </is>
      </c>
      <c r="O45" s="42">
        <f>IF(ISBLANK(R45),"&lt;/b&gt;","&lt;/i&gt;")</f>
        <v/>
      </c>
      <c r="P45" s="4">
        <f>IF(ISBLANK(R45),"","&lt;br&gt;")</f>
        <v/>
      </c>
      <c r="Q45" s="42">
        <f>IF(ISBLANK(R45),"","&lt;b&gt;")</f>
        <v/>
      </c>
      <c r="R45" s="42" t="inlineStr">
        <is>
          <t>Office of Health &amp; Social Services Ombudsman</t>
        </is>
      </c>
      <c r="S45" s="42">
        <f>IF(ISBLANK(R45),"","&lt;/i&gt;")</f>
        <v/>
      </c>
      <c r="T45" s="43">
        <f>IF(ISBLANK(X45),"",IF(OR(AB45="PASSED",ISBLANK(N45)),"&lt;b&gt;","&lt;i&gt;"))</f>
        <v/>
      </c>
      <c r="U45" s="3">
        <f>IF(ISBLANK(V45),"","&lt;a href='")</f>
        <v/>
      </c>
      <c r="V45" s="39" t="inlineStr">
        <is>
          <t>https://legislature.idaho.gov/sessioninfo/2026/legislation/S1331/</t>
        </is>
      </c>
      <c r="W45" s="17">
        <f>IF(ISBLANK(V45),"","'&gt;")</f>
        <v/>
      </c>
      <c r="X45" s="12" t="inlineStr">
        <is>
          <t>Senate Bill 1331</t>
        </is>
      </c>
      <c r="Y45" s="17">
        <f>IF(ISBLANK(X45),"","&lt;/a&gt;")</f>
        <v/>
      </c>
      <c r="Z45" s="42">
        <f>IF(ISBLANK(X45),"",IF(OR(AB45="PASSED",ISBLANK(N45)),"&lt;/b&gt;","&lt;/i&gt;"))</f>
        <v/>
      </c>
      <c r="AA45" s="43">
        <f>IF(AB45="PASSED","&lt;b&gt;","")</f>
        <v/>
      </c>
      <c r="AB45" s="45" t="inlineStr">
        <is>
          <t>PASSED</t>
        </is>
      </c>
      <c r="AC45" s="43">
        <f>IF(AB45="PASSED","&lt;/b&gt;","")</f>
        <v/>
      </c>
      <c r="AD45" s="43">
        <f>IF(ISBLANK(AE45),"","&lt;b&gt;")</f>
        <v/>
      </c>
      <c r="AE45" s="51" t="inlineStr">
        <is>
          <t>03/06</t>
        </is>
      </c>
      <c r="AF45" s="42">
        <f>IF(ISBLANK(AE45),"",": ")</f>
        <v/>
      </c>
      <c r="AG45" s="42" t="inlineStr">
        <is>
          <t>House Vote 48-22</t>
        </is>
      </c>
      <c r="AH45" s="42">
        <f>IF(ISBLANK(AE45),"","&lt;/b&gt;")</f>
        <v/>
      </c>
      <c r="AI45" s="42" t="inlineStr">
        <is>
          <t>03/02: Senate Vote 18-17&lt;br&gt;02/06: FY26 holdback (-4%)</t>
        </is>
      </c>
      <c r="AJ45" s="42">
        <f>IF(ISBLANK(AI45),"","&lt;br&gt;"&amp;AI45)</f>
        <v/>
      </c>
      <c r="AK45" s="4" t="inlineStr">
        <is>
          <t>&lt;br&gt;</t>
        </is>
      </c>
      <c r="AL45" s="42" t="inlineStr">
        <is>
          <t>&lt;b&gt;&lt;i&gt;</t>
        </is>
      </c>
      <c r="AM45" s="42" t="inlineStr">
        <is>
          <t>Governor's 3% + JFAC's 1%</t>
        </is>
      </c>
      <c r="AN45" s="42">
        <f>IF(ISBLANK(AM45),"","&lt;/i&gt;")</f>
        <v/>
      </c>
      <c r="AO45" s="35">
        <f>IF(ISBLANK(AQ45),"","&lt;/b&gt;&lt;br&gt;&lt;br&gt;")</f>
        <v/>
      </c>
      <c r="AP45" s="42">
        <f>IF(ISBLANK(AQ45),"","&lt;b&gt;")</f>
        <v/>
      </c>
      <c r="AQ45" s="47" t="inlineStr">
        <is>
          <t xml:space="preserve">Agency Reduction Plan:&lt;br&gt;Additional </t>
        </is>
      </c>
      <c r="AR45" s="42" t="inlineStr">
        <is>
          <t>1</t>
        </is>
      </c>
      <c r="AS45" s="4">
        <f>IF(ISBLANK(AR45),""," %")</f>
        <v/>
      </c>
      <c r="AT45" s="4">
        <f t="array" ref="AT45">_xlfn.IFS(NOT(ISBLANK(AU45))," (pgs. ",NOT(ISBLANK(AS45))," (pg. ", ISBLANK(AS45), "")</f>
        <v/>
      </c>
      <c r="AU45" s="52" t="n">
        <v>182</v>
      </c>
      <c r="AV45" s="4">
        <f>IF(ISBLANK(AW45),"",", ")</f>
        <v/>
      </c>
      <c r="AW45" s="42" t="n"/>
      <c r="AX45" s="4">
        <f>IF(ISBLANK(AY45),"",",&lt;br&gt;")</f>
        <v/>
      </c>
      <c r="AY45" s="42" t="n"/>
      <c r="AZ45" s="49">
        <f>IF(ISBLANK(AU45),"",")&lt;/b&gt;")</f>
        <v/>
      </c>
      <c r="BA45" s="4">
        <f>IF(ISBLANK(BC45),"","&lt;br&gt;")</f>
        <v/>
      </c>
      <c r="BB45" s="42">
        <f t="array" ref="BB45">IF(ISBLANK(BC45),"",_xlfn.LET(
_xlpm.words,_xlfn.TEXTSPLIT(TRIM(BC45),"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45" s="50" t="inlineStr">
        <is>
          <t>The reduction of the operating budget will have to come out of funds that otherwise could be used to visit facilities in person and speak with staff and with youth who have filed complaints. It is important to meet face to face with the youth versus digitally because it is hard to ascertain the environment and sometimes the youth are hesitant to visit over technology. In addition, sometimes, the technology to do a virtual visit is not available to youth. Community education can be done virtually in many instances but doing education at conferences/summits/stakeholder meetings that don't offer this option will be difficult.</t>
        </is>
      </c>
    </row>
    <row r="46">
      <c r="A46" s="20">
        <f>_xlfn.TEXTJOIN("", TRUE, F46:H46)</f>
        <v/>
      </c>
      <c r="B46" s="21">
        <f>_xlfn.TEXTJOIN("", TRUE, I46:S46)</f>
        <v/>
      </c>
      <c r="C46" s="21">
        <f>IF(ISBLANK(X46),"", _xlfn.TEXTJOIN("",TRUE,T46:Z46))</f>
        <v/>
      </c>
      <c r="D46" s="21">
        <f>IF(ISBLANK(AB46), "", _xlfn.TEXTJOIN("", TRUE, AA46:AC46))</f>
        <v/>
      </c>
      <c r="E46" s="22">
        <f>IF(AU46="NA", _xlfn.TEXTJOIN("", TRUE, AD46:AH46), _xlfn.TEXTJOIN("", TRUE, AD46:AJ46))</f>
        <v/>
      </c>
      <c r="F46" s="42">
        <f>IF(LEFT(G46,4)="FY26","&lt;b&gt;","&lt;i&gt;")</f>
        <v/>
      </c>
      <c r="G46" s="42" t="inlineStr">
        <is>
          <t>FY26 Reduction</t>
        </is>
      </c>
      <c r="H46" s="42">
        <f>IF(LEFT(G46,4)="FY26","&lt;/b&gt;","&lt;/i&gt;")</f>
        <v/>
      </c>
      <c r="I46" s="43" t="inlineStr">
        <is>
          <t>&lt;i&gt;</t>
        </is>
      </c>
      <c r="J46" s="44" t="inlineStr">
        <is>
          <t>Economic Development</t>
        </is>
      </c>
      <c r="K46" s="44" t="inlineStr">
        <is>
          <t>&lt;/i&gt;</t>
        </is>
      </c>
      <c r="L46" s="4">
        <f>IF(ISBLANK(N46),"","&lt;br&gt;")</f>
        <v/>
      </c>
      <c r="M46" s="42">
        <f>IF(ISBLANK(R46),"&lt;b&gt;","&lt;i&gt;")</f>
        <v/>
      </c>
      <c r="N46" s="42" t="inlineStr">
        <is>
          <t>Dept. of Self-Governing Agencies</t>
        </is>
      </c>
      <c r="O46" s="42">
        <f>IF(ISBLANK(R46),"&lt;/b&gt;","&lt;/i&gt;")</f>
        <v/>
      </c>
      <c r="P46" s="4">
        <f>IF(ISBLANK(R46),"","&lt;br&gt;")</f>
        <v/>
      </c>
      <c r="Q46" s="42">
        <f>IF(ISBLANK(R46),"","&lt;b&gt;")</f>
        <v/>
      </c>
      <c r="R46" s="42" t="inlineStr">
        <is>
          <t>Office of the State Public Defender</t>
        </is>
      </c>
      <c r="S46" s="42">
        <f>IF(ISBLANK(R46),"","&lt;/i&gt;")</f>
        <v/>
      </c>
      <c r="T46" s="43">
        <f>IF(ISBLANK(X46),"",IF(OR(AB46="PASSED",ISBLANK(N46)),"&lt;b&gt;","&lt;i&gt;"))</f>
        <v/>
      </c>
      <c r="U46" s="3">
        <f>IF(ISBLANK(V46),"","&lt;a href='")</f>
        <v/>
      </c>
      <c r="V46" s="39" t="inlineStr">
        <is>
          <t>https://legislature.idaho.gov/sessioninfo/2026/legislation/S1331/</t>
        </is>
      </c>
      <c r="W46" s="17">
        <f>IF(ISBLANK(V46),"","'&gt;")</f>
        <v/>
      </c>
      <c r="X46" s="12" t="inlineStr">
        <is>
          <t>Senate Bill 1331</t>
        </is>
      </c>
      <c r="Y46" s="17">
        <f>IF(ISBLANK(X46),"","&lt;/a&gt;")</f>
        <v/>
      </c>
      <c r="Z46" s="42">
        <f>IF(ISBLANK(X46),"",IF(OR(AB46="PASSED",ISBLANK(N46)),"&lt;/b&gt;","&lt;/i&gt;"))</f>
        <v/>
      </c>
      <c r="AA46" s="43">
        <f>IF(AB46="PASSED","&lt;b&gt;","")</f>
        <v/>
      </c>
      <c r="AB46" s="45" t="inlineStr">
        <is>
          <t>PASSED</t>
        </is>
      </c>
      <c r="AC46" s="43">
        <f>IF(AB46="PASSED","&lt;/b&gt;","")</f>
        <v/>
      </c>
      <c r="AD46" s="43">
        <f>IF(ISBLANK(AE46),"","&lt;b&gt;")</f>
        <v/>
      </c>
      <c r="AE46" s="51" t="inlineStr">
        <is>
          <t>03/06</t>
        </is>
      </c>
      <c r="AF46" s="42">
        <f>IF(ISBLANK(AE46),"",": ")</f>
        <v/>
      </c>
      <c r="AG46" s="42" t="inlineStr">
        <is>
          <t>House Vote 48-22</t>
        </is>
      </c>
      <c r="AH46" s="42">
        <f>IF(ISBLANK(AE46),"","&lt;/b&gt;")</f>
        <v/>
      </c>
      <c r="AI46" s="42" t="inlineStr">
        <is>
          <t>03/02: Senate Vote 18-17&lt;br&gt;02/06: FY26 holdback (-4%)</t>
        </is>
      </c>
      <c r="AJ46" s="42">
        <f>IF(ISBLANK(AI46),"","&lt;br&gt;"&amp;AI46)</f>
        <v/>
      </c>
      <c r="AK46" s="4" t="inlineStr">
        <is>
          <t>&lt;br&gt;</t>
        </is>
      </c>
      <c r="AL46" s="42" t="inlineStr">
        <is>
          <t>&lt;b&gt;&lt;i&gt;</t>
        </is>
      </c>
      <c r="AM46" s="42" t="inlineStr">
        <is>
          <t>Governor's 3% + JFAC's 1%</t>
        </is>
      </c>
      <c r="AN46" s="42">
        <f>IF(ISBLANK(AM46),"","&lt;/i&gt;")</f>
        <v/>
      </c>
      <c r="AO46" s="35">
        <f>IF(ISBLANK(AQ46),"","&lt;/b&gt;&lt;br&gt;&lt;br&gt;")</f>
        <v/>
      </c>
      <c r="AP46" s="42">
        <f>IF(ISBLANK(AQ46),"","&lt;b&gt;")</f>
        <v/>
      </c>
      <c r="AQ46" s="47" t="inlineStr">
        <is>
          <t xml:space="preserve">Agency Reduction Plan:&lt;br&gt;Additional </t>
        </is>
      </c>
      <c r="AR46" s="42" t="inlineStr">
        <is>
          <t>1</t>
        </is>
      </c>
      <c r="AS46" s="4">
        <f>IF(ISBLANK(AR46),""," %")</f>
        <v/>
      </c>
      <c r="AT46" s="4">
        <f t="array" ref="AT46">_xlfn.IFS(NOT(ISBLANK(AU46))," (pgs. ",NOT(ISBLANK(AS46))," (pg. ", ISBLANK(AS46), "")</f>
        <v/>
      </c>
      <c r="AU46" s="52" t="n">
        <v>169</v>
      </c>
      <c r="AV46" s="4">
        <f>IF(ISBLANK(AW46),"",", ")</f>
        <v/>
      </c>
      <c r="AW46" s="42" t="n"/>
      <c r="AX46" s="4">
        <f>IF(ISBLANK(AY46),"",",&lt;br&gt;")</f>
        <v/>
      </c>
      <c r="AY46" s="42" t="n"/>
      <c r="AZ46" s="49">
        <f>IF(ISBLANK(AU46),"",")&lt;/b&gt;")</f>
        <v/>
      </c>
      <c r="BA46" s="4">
        <f>IF(ISBLANK(BC46),"","&lt;br&gt;")</f>
        <v/>
      </c>
      <c r="BB46" s="42">
        <f t="array" ref="BB46">IF(ISBLANK(BC46),"",_xlfn.LET(
_xlpm.words,_xlfn.TEXTSPLIT(TRIM(BC46),"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46" s="50" t="inlineStr">
        <is>
          <t>While the reductions may appear modest in isolation, their cumulative effect would materially constrain the SPD’s ability to manage mandatory cost growth, address chronic staffing shortages, and fulfill the State’s constitutional obligation to provide effective assistance of counsel to indigent clients in criminal cases, its statutory obligation to provide effective assistance to indigent clients in Child Protective Act (CPA), and involuntary commitment cases. FY 2026 represents the first full fiscal year of statewide public defense operations under the SPD. As such, actual costs are still being established based on real-world experience rather than historical projections. Budget reductions imposed at this stage risk impairing core functions before a complete and accurate cost picture is available.</t>
        </is>
      </c>
    </row>
    <row r="47">
      <c r="A47" s="20">
        <f>_xlfn.TEXTJOIN("", TRUE, F47:H47)</f>
        <v/>
      </c>
      <c r="B47" s="21">
        <f>_xlfn.TEXTJOIN("", TRUE, I47:S47)</f>
        <v/>
      </c>
      <c r="C47" s="21">
        <f>IF(ISBLANK(X47),"", _xlfn.TEXTJOIN("",TRUE,T47:Z47))</f>
        <v/>
      </c>
      <c r="D47" s="21">
        <f>IF(ISBLANK(AB47), "", _xlfn.TEXTJOIN("", TRUE, AA47:AC47))</f>
        <v/>
      </c>
      <c r="E47" s="22">
        <f>IF(AU47="NA", _xlfn.TEXTJOIN("", TRUE, AD47:AH47), _xlfn.TEXTJOIN("", TRUE, AD47:AJ47))</f>
        <v/>
      </c>
      <c r="F47" s="42">
        <f>IF(LEFT(G47,4)="FY26","&lt;b&gt;","&lt;i&gt;")</f>
        <v/>
      </c>
      <c r="G47" s="42" t="inlineStr">
        <is>
          <t>FY26 Reduction</t>
        </is>
      </c>
      <c r="H47" s="42">
        <f>IF(LEFT(G47,4)="FY26","&lt;/b&gt;","&lt;/i&gt;")</f>
        <v/>
      </c>
      <c r="I47" s="43" t="inlineStr">
        <is>
          <t>&lt;i&gt;</t>
        </is>
      </c>
      <c r="J47" s="44" t="inlineStr">
        <is>
          <t>Economic Development</t>
        </is>
      </c>
      <c r="K47" s="44" t="inlineStr">
        <is>
          <t>&lt;/i&gt;</t>
        </is>
      </c>
      <c r="L47" s="4">
        <f>IF(ISBLANK(N47),"","&lt;br&gt;")</f>
        <v/>
      </c>
      <c r="M47" s="42">
        <f>IF(ISBLANK(R47),"&lt;b&gt;","&lt;i&gt;")</f>
        <v/>
      </c>
      <c r="N47" s="42" t="inlineStr">
        <is>
          <t>Dept. of Self-Governing Agencies</t>
        </is>
      </c>
      <c r="O47" s="42">
        <f>IF(ISBLANK(R47),"&lt;/b&gt;","&lt;/i&gt;")</f>
        <v/>
      </c>
      <c r="P47" s="4">
        <f>IF(ISBLANK(R47),"","&lt;br&gt;")</f>
        <v/>
      </c>
      <c r="Q47" s="42">
        <f>IF(ISBLANK(R47),"","&lt;b&gt;")</f>
        <v/>
      </c>
      <c r="R47" s="42" t="inlineStr">
        <is>
          <t>Public Defense Comm.</t>
        </is>
      </c>
      <c r="S47" s="42">
        <f>IF(ISBLANK(R47),"","&lt;/i&gt;")</f>
        <v/>
      </c>
      <c r="T47" s="43">
        <f>IF(ISBLANK(X47),"",IF(OR(AB47="PASSED",ISBLANK(N47)),"&lt;b&gt;","&lt;i&gt;"))</f>
        <v/>
      </c>
      <c r="U47" s="3">
        <f>IF(ISBLANK(V47),"","&lt;a href='")</f>
        <v/>
      </c>
      <c r="V47" s="39" t="inlineStr">
        <is>
          <t>https://legislature.idaho.gov/sessioninfo/2026/legislation/S1331/</t>
        </is>
      </c>
      <c r="W47" s="17">
        <f>IF(ISBLANK(V47),"","'&gt;")</f>
        <v/>
      </c>
      <c r="X47" s="12" t="inlineStr">
        <is>
          <t>Senate Bill 1331</t>
        </is>
      </c>
      <c r="Y47" s="17">
        <f>IF(ISBLANK(X47),"","&lt;/a&gt;")</f>
        <v/>
      </c>
      <c r="Z47" s="42">
        <f>IF(ISBLANK(X47),"",IF(OR(AB47="PASSED",ISBLANK(N47)),"&lt;/b&gt;","&lt;/i&gt;"))</f>
        <v/>
      </c>
      <c r="AA47" s="43">
        <f>IF(AB47="PASSED","&lt;b&gt;","")</f>
        <v/>
      </c>
      <c r="AB47" s="45" t="inlineStr">
        <is>
          <t>PASSED</t>
        </is>
      </c>
      <c r="AC47" s="43">
        <f>IF(AB47="PASSED","&lt;/b&gt;","")</f>
        <v/>
      </c>
      <c r="AD47" s="43">
        <f>IF(ISBLANK(AE47),"","&lt;b&gt;")</f>
        <v/>
      </c>
      <c r="AE47" s="51" t="inlineStr">
        <is>
          <t>03/06</t>
        </is>
      </c>
      <c r="AF47" s="42">
        <f>IF(ISBLANK(AE47),"",": ")</f>
        <v/>
      </c>
      <c r="AG47" s="42" t="inlineStr">
        <is>
          <t>House Vote 48-22</t>
        </is>
      </c>
      <c r="AH47" s="42">
        <f>IF(ISBLANK(AE47),"","&lt;/b&gt;")</f>
        <v/>
      </c>
      <c r="AI47" s="42" t="inlineStr">
        <is>
          <t>03/02: Senate Vote 18-17&lt;br&gt;02/06: FY26 holdback (-4%)</t>
        </is>
      </c>
      <c r="AJ47" s="42">
        <f>IF(ISBLANK(AI47),"","&lt;br&gt;"&amp;AI47)</f>
        <v/>
      </c>
      <c r="AK47" s="4" t="inlineStr">
        <is>
          <t>&lt;br&gt;</t>
        </is>
      </c>
      <c r="AL47" s="42" t="inlineStr">
        <is>
          <t>&lt;b&gt;&lt;i&gt;</t>
        </is>
      </c>
      <c r="AM47" s="42" t="inlineStr">
        <is>
          <t>Governor's 3% + JFAC's 1%</t>
        </is>
      </c>
      <c r="AN47" s="42">
        <f>IF(ISBLANK(AM47),"","&lt;/i&gt;")</f>
        <v/>
      </c>
      <c r="AO47" s="35">
        <f>IF(ISBLANK(AQ47),"","&lt;/b&gt;&lt;br&gt;&lt;br&gt;")</f>
        <v/>
      </c>
      <c r="AP47" s="42">
        <f>IF(ISBLANK(AQ47),"","&lt;b&gt;")</f>
        <v/>
      </c>
      <c r="AQ47" s="47" t="inlineStr">
        <is>
          <t xml:space="preserve">Agency Reduction Plan:&lt;br&gt;Additional </t>
        </is>
      </c>
      <c r="AR47" s="42" t="inlineStr">
        <is>
          <t>1</t>
        </is>
      </c>
      <c r="AS47" s="4">
        <f>IF(ISBLANK(AR47),""," %")</f>
        <v/>
      </c>
      <c r="AT47" s="4">
        <f t="array" ref="AT47">_xlfn.IFS(NOT(ISBLANK(AU47))," (pgs. ",NOT(ISBLANK(AS47))," (pg. ", ISBLANK(AS47), "")</f>
        <v/>
      </c>
      <c r="AU47" s="52" t="inlineStr">
        <is>
          <t>NA</t>
        </is>
      </c>
      <c r="AV47" s="4">
        <f>IF(ISBLANK(AW47),"",", ")</f>
        <v/>
      </c>
      <c r="AW47" s="42" t="n"/>
      <c r="AX47" s="4">
        <f>IF(ISBLANK(AY47),"",",&lt;br&gt;")</f>
        <v/>
      </c>
      <c r="AY47" s="42" t="n"/>
      <c r="AZ47" s="49">
        <f>IF(ISBLANK(AU47),"",")&lt;/b&gt;")</f>
        <v/>
      </c>
      <c r="BA47" s="4">
        <f>IF(ISBLANK(BC47),"","&lt;br&gt;")</f>
        <v/>
      </c>
      <c r="BB47" s="42">
        <f t="array" ref="BB47">IF(ISBLANK(BC47),"",_xlfn.LET(
_xlpm.words,_xlfn.TEXTSPLIT(TRIM(BC47),"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47" s="50" t="n"/>
    </row>
    <row r="48">
      <c r="A48" s="20">
        <f>_xlfn.TEXTJOIN("", TRUE, F48:H48)</f>
        <v/>
      </c>
      <c r="B48" s="21">
        <f>_xlfn.TEXTJOIN("", TRUE, I48:S48)</f>
        <v/>
      </c>
      <c r="C48" s="21">
        <f>IF(ISBLANK(X48),"", _xlfn.TEXTJOIN("",TRUE,T48:Z48))</f>
        <v/>
      </c>
      <c r="D48" s="21">
        <f>IF(ISBLANK(AB48), "", _xlfn.TEXTJOIN("", TRUE, AA48:AC48))</f>
        <v/>
      </c>
      <c r="E48" s="22">
        <f>IF(AU48="NA", _xlfn.TEXTJOIN("", TRUE, AD48:AH48), _xlfn.TEXTJOIN("", TRUE, AD48:AJ48))</f>
        <v/>
      </c>
      <c r="F48" s="42">
        <f>IF(LEFT(G48,4)="FY26","&lt;b&gt;","&lt;i&gt;")</f>
        <v/>
      </c>
      <c r="G48" s="42" t="inlineStr">
        <is>
          <t>FY26 Reduction</t>
        </is>
      </c>
      <c r="H48" s="42">
        <f>IF(LEFT(G48,4)="FY26","&lt;/b&gt;","&lt;/i&gt;")</f>
        <v/>
      </c>
      <c r="I48" s="43" t="inlineStr">
        <is>
          <t>&lt;i&gt;</t>
        </is>
      </c>
      <c r="J48" s="44" t="inlineStr">
        <is>
          <t>Economic Development</t>
        </is>
      </c>
      <c r="K48" s="44" t="inlineStr">
        <is>
          <t>&lt;/i&gt;</t>
        </is>
      </c>
      <c r="L48" s="4">
        <f>IF(ISBLANK(N48),"","&lt;br&gt;")</f>
        <v/>
      </c>
      <c r="M48" s="42">
        <f>IF(ISBLANK(R48),"&lt;b&gt;","&lt;i&gt;")</f>
        <v/>
      </c>
      <c r="N48" s="42" t="inlineStr">
        <is>
          <t>Dept. of Self-Governing Agencies</t>
        </is>
      </c>
      <c r="O48" s="42">
        <f>IF(ISBLANK(R48),"&lt;/b&gt;","&lt;/i&gt;")</f>
        <v/>
      </c>
      <c r="P48" s="4">
        <f>IF(ISBLANK(R48),"","&lt;br&gt;")</f>
        <v/>
      </c>
      <c r="Q48" s="42">
        <f>IF(ISBLANK(R48),"","&lt;b&gt;")</f>
        <v/>
      </c>
      <c r="R48" s="42" t="inlineStr">
        <is>
          <t>State Appellate Public Defender</t>
        </is>
      </c>
      <c r="S48" s="42">
        <f>IF(ISBLANK(R48),"","&lt;/i&gt;")</f>
        <v/>
      </c>
      <c r="T48" s="43">
        <f>IF(ISBLANK(X48),"",IF(OR(AB48="PASSED",ISBLANK(N48)),"&lt;b&gt;","&lt;i&gt;"))</f>
        <v/>
      </c>
      <c r="U48" s="3">
        <f>IF(ISBLANK(V48),"","&lt;a href='")</f>
        <v/>
      </c>
      <c r="V48" s="39" t="inlineStr">
        <is>
          <t>https://legislature.idaho.gov/sessioninfo/2026/legislation/S1331/</t>
        </is>
      </c>
      <c r="W48" s="17">
        <f>IF(ISBLANK(V48),"","'&gt;")</f>
        <v/>
      </c>
      <c r="X48" s="12" t="inlineStr">
        <is>
          <t>Senate Bill 1331</t>
        </is>
      </c>
      <c r="Y48" s="17">
        <f>IF(ISBLANK(X48),"","&lt;/a&gt;")</f>
        <v/>
      </c>
      <c r="Z48" s="42">
        <f>IF(ISBLANK(X48),"",IF(OR(AB48="PASSED",ISBLANK(N48)),"&lt;/b&gt;","&lt;/i&gt;"))</f>
        <v/>
      </c>
      <c r="AA48" s="43">
        <f>IF(AB48="PASSED","&lt;b&gt;","")</f>
        <v/>
      </c>
      <c r="AB48" s="45" t="inlineStr">
        <is>
          <t>PASSED</t>
        </is>
      </c>
      <c r="AC48" s="43">
        <f>IF(AB48="PASSED","&lt;/b&gt;","")</f>
        <v/>
      </c>
      <c r="AD48" s="43">
        <f>IF(ISBLANK(AE48),"","&lt;b&gt;")</f>
        <v/>
      </c>
      <c r="AE48" s="51" t="inlineStr">
        <is>
          <t>03/06</t>
        </is>
      </c>
      <c r="AF48" s="42">
        <f>IF(ISBLANK(AE48),"",": ")</f>
        <v/>
      </c>
      <c r="AG48" s="42" t="inlineStr">
        <is>
          <t>House Vote 48-22</t>
        </is>
      </c>
      <c r="AH48" s="42">
        <f>IF(ISBLANK(AE48),"","&lt;/b&gt;")</f>
        <v/>
      </c>
      <c r="AI48" s="42" t="inlineStr">
        <is>
          <t>03/02: Senate Vote 18-17&lt;br&gt;02/06: FY26 holdback (-4%)</t>
        </is>
      </c>
      <c r="AJ48" s="42">
        <f>IF(ISBLANK(AI48),"","&lt;br&gt;"&amp;AI48)</f>
        <v/>
      </c>
      <c r="AK48" s="4" t="inlineStr">
        <is>
          <t>&lt;br&gt;</t>
        </is>
      </c>
      <c r="AL48" s="42" t="inlineStr">
        <is>
          <t>&lt;b&gt;&lt;i&gt;</t>
        </is>
      </c>
      <c r="AM48" s="42" t="inlineStr">
        <is>
          <t>Governor's 3% + JFAC's 1%</t>
        </is>
      </c>
      <c r="AN48" s="42">
        <f>IF(ISBLANK(AM48),"","&lt;/i&gt;")</f>
        <v/>
      </c>
      <c r="AO48" s="35">
        <f>IF(ISBLANK(AQ48),"","&lt;/b&gt;&lt;br&gt;&lt;br&gt;")</f>
        <v/>
      </c>
      <c r="AP48" s="42">
        <f>IF(ISBLANK(AQ48),"","&lt;b&gt;")</f>
        <v/>
      </c>
      <c r="AQ48" s="47" t="inlineStr">
        <is>
          <t xml:space="preserve">Agency Reduction Plan:&lt;br&gt;Additional </t>
        </is>
      </c>
      <c r="AR48" s="42" t="inlineStr">
        <is>
          <t>1</t>
        </is>
      </c>
      <c r="AS48" s="4">
        <f>IF(ISBLANK(AR48),""," %")</f>
        <v/>
      </c>
      <c r="AT48" s="4">
        <f t="array" ref="AT48">_xlfn.IFS(NOT(ISBLANK(AU48))," (pgs. ",NOT(ISBLANK(AS48))," (pg. ", ISBLANK(AS48), "")</f>
        <v/>
      </c>
      <c r="AU48" s="52" t="n">
        <v>166</v>
      </c>
      <c r="AV48" s="4">
        <f>IF(ISBLANK(AW48),"",", ")</f>
        <v/>
      </c>
      <c r="AW48" s="42" t="n"/>
      <c r="AX48" s="4">
        <f>IF(ISBLANK(AY48),"",",&lt;br&gt;")</f>
        <v/>
      </c>
      <c r="AY48" s="42" t="n"/>
      <c r="AZ48" s="49">
        <f>IF(ISBLANK(AU48),"",")&lt;/b&gt;")</f>
        <v/>
      </c>
      <c r="BA48" s="4">
        <f>IF(ISBLANK(BC48),"","&lt;br&gt;")</f>
        <v/>
      </c>
      <c r="BB48" s="42">
        <f t="array" ref="BB48">IF(ISBLANK(BC48),"",_xlfn.LET(
_xlpm.words,_xlfn.TEXTSPLIT(TRIM(BC48),"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48" s="50" t="inlineStr">
        <is>
          <t>Owing to its frugality (and some good luck), the SAPD is currently positioned to be able to handle further budget reductions of 1-2% for the remainder of FY 2026. The biggest risk associated with further cuts in FY 2026 is that they could cause the SAPD to delay incurring certain necessary expenses, which could start the SAPD off in a worse financial position in FY 2027. That risk should not be overlooked, since the SAPD already anticipates financial challenges in FY 2027.</t>
        </is>
      </c>
    </row>
    <row r="49">
      <c r="A49" s="20">
        <f>_xlfn.TEXTJOIN("", TRUE, F49:H49)</f>
        <v/>
      </c>
      <c r="B49" s="21">
        <f>_xlfn.TEXTJOIN("", TRUE, I49:S49)</f>
        <v/>
      </c>
      <c r="C49" s="21">
        <f>IF(ISBLANK(X49),"", _xlfn.TEXTJOIN("",TRUE,T49:Z49))</f>
        <v/>
      </c>
      <c r="D49" s="21">
        <f>IF(ISBLANK(AB49), "", _xlfn.TEXTJOIN("", TRUE, AA49:AC49))</f>
        <v/>
      </c>
      <c r="E49" s="22">
        <f>IF(AU49="NA", _xlfn.TEXTJOIN("", TRUE, AD49:AH49), _xlfn.TEXTJOIN("", TRUE, AD49:AJ49))</f>
        <v/>
      </c>
      <c r="F49" s="42">
        <f>IF(LEFT(G49,4)="FY26","&lt;b&gt;","&lt;i&gt;")</f>
        <v/>
      </c>
      <c r="G49" s="42" t="inlineStr">
        <is>
          <t>FY26 Reduction</t>
        </is>
      </c>
      <c r="H49" s="42">
        <f>IF(LEFT(G49,4)="FY26","&lt;/b&gt;","&lt;/i&gt;")</f>
        <v/>
      </c>
      <c r="I49" s="43" t="inlineStr">
        <is>
          <t>&lt;i&gt;</t>
        </is>
      </c>
      <c r="J49" s="44" t="inlineStr">
        <is>
          <t>Economic Development</t>
        </is>
      </c>
      <c r="K49" s="44" t="inlineStr">
        <is>
          <t>&lt;/i&gt;</t>
        </is>
      </c>
      <c r="L49" s="4">
        <f>IF(ISBLANK(N49),"","&lt;br&gt;")</f>
        <v/>
      </c>
      <c r="M49" s="42">
        <f>IF(ISBLANK(R49),"&lt;b&gt;","&lt;i&gt;")</f>
        <v/>
      </c>
      <c r="N49" s="42" t="inlineStr">
        <is>
          <t>Dept. of Self-Governing Agencies</t>
        </is>
      </c>
      <c r="O49" s="42">
        <f>IF(ISBLANK(R49),"&lt;/b&gt;","&lt;/i&gt;")</f>
        <v/>
      </c>
      <c r="P49" s="4">
        <f>IF(ISBLANK(R49),"","&lt;br&gt;")</f>
        <v/>
      </c>
      <c r="Q49" s="42">
        <f>IF(ISBLANK(R49),"","&lt;b&gt;")</f>
        <v/>
      </c>
      <c r="R49" s="42" t="inlineStr">
        <is>
          <t>State Historical Society</t>
        </is>
      </c>
      <c r="S49" s="42">
        <f>IF(ISBLANK(R49),"","&lt;/i&gt;")</f>
        <v/>
      </c>
      <c r="T49" s="43">
        <f>IF(ISBLANK(X49),"",IF(OR(AB49="PASSED",ISBLANK(N49)),"&lt;b&gt;","&lt;i&gt;"))</f>
        <v/>
      </c>
      <c r="U49" s="3">
        <f>IF(ISBLANK(V49),"","&lt;a href='")</f>
        <v/>
      </c>
      <c r="V49" s="39" t="inlineStr">
        <is>
          <t>https://legislature.idaho.gov/sessioninfo/2026/legislation/S1331/</t>
        </is>
      </c>
      <c r="W49" s="17">
        <f>IF(ISBLANK(V49),"","'&gt;")</f>
        <v/>
      </c>
      <c r="X49" s="12" t="inlineStr">
        <is>
          <t>Senate Bill 1331</t>
        </is>
      </c>
      <c r="Y49" s="17">
        <f>IF(ISBLANK(X49),"","&lt;/a&gt;")</f>
        <v/>
      </c>
      <c r="Z49" s="42">
        <f>IF(ISBLANK(X49),"",IF(OR(AB49="PASSED",ISBLANK(N49)),"&lt;/b&gt;","&lt;/i&gt;"))</f>
        <v/>
      </c>
      <c r="AA49" s="43">
        <f>IF(AB49="PASSED","&lt;b&gt;","")</f>
        <v/>
      </c>
      <c r="AB49" s="45" t="inlineStr">
        <is>
          <t>PASSED</t>
        </is>
      </c>
      <c r="AC49" s="43">
        <f>IF(AB49="PASSED","&lt;/b&gt;","")</f>
        <v/>
      </c>
      <c r="AD49" s="43">
        <f>IF(ISBLANK(AE49),"","&lt;b&gt;")</f>
        <v/>
      </c>
      <c r="AE49" s="51" t="inlineStr">
        <is>
          <t>03/06</t>
        </is>
      </c>
      <c r="AF49" s="42">
        <f>IF(ISBLANK(AE49),"",": ")</f>
        <v/>
      </c>
      <c r="AG49" s="42" t="inlineStr">
        <is>
          <t>House Vote 48-22</t>
        </is>
      </c>
      <c r="AH49" s="42">
        <f>IF(ISBLANK(AE49),"","&lt;/b&gt;")</f>
        <v/>
      </c>
      <c r="AI49" s="42" t="inlineStr">
        <is>
          <t>03/02: Senate Vote 18-17&lt;br&gt;02/06: FY26 holdback (-4%)</t>
        </is>
      </c>
      <c r="AJ49" s="42">
        <f>IF(ISBLANK(AI49),"","&lt;br&gt;"&amp;AI49)</f>
        <v/>
      </c>
      <c r="AK49" s="4" t="inlineStr">
        <is>
          <t>&lt;br&gt;</t>
        </is>
      </c>
      <c r="AL49" s="42" t="inlineStr">
        <is>
          <t>&lt;b&gt;&lt;i&gt;</t>
        </is>
      </c>
      <c r="AM49" s="42" t="inlineStr">
        <is>
          <t>Governor's 3% + JFAC's 1%</t>
        </is>
      </c>
      <c r="AN49" s="42">
        <f>IF(ISBLANK(AM49),"","&lt;/i&gt;")</f>
        <v/>
      </c>
      <c r="AO49" s="35">
        <f>IF(ISBLANK(AQ49),"","&lt;/b&gt;&lt;br&gt;&lt;br&gt;")</f>
        <v/>
      </c>
      <c r="AP49" s="42">
        <f>IF(ISBLANK(AQ49),"","&lt;b&gt;")</f>
        <v/>
      </c>
      <c r="AQ49" s="47" t="inlineStr">
        <is>
          <t xml:space="preserve">Agency Reduction Plan:&lt;br&gt;Additional </t>
        </is>
      </c>
      <c r="AR49" s="42" t="inlineStr">
        <is>
          <t>1</t>
        </is>
      </c>
      <c r="AS49" s="4">
        <f>IF(ISBLANK(AR49),""," %")</f>
        <v/>
      </c>
      <c r="AT49" s="4">
        <f t="array" ref="AT49">_xlfn.IFS(NOT(ISBLANK(AU49))," (pgs. ",NOT(ISBLANK(AS49))," (pg. ", ISBLANK(AS49), "")</f>
        <v/>
      </c>
      <c r="AU49" s="52" t="n">
        <v>159</v>
      </c>
      <c r="AV49" s="4">
        <f>IF(ISBLANK(AW49),"",", ")</f>
        <v/>
      </c>
      <c r="AW49" s="42" t="n"/>
      <c r="AX49" s="4">
        <f>IF(ISBLANK(AY49),"",",&lt;br&gt;")</f>
        <v/>
      </c>
      <c r="AY49" s="42" t="n"/>
      <c r="AZ49" s="49">
        <f>IF(ISBLANK(AU49),"",")&lt;/b&gt;")</f>
        <v/>
      </c>
      <c r="BA49" s="4">
        <f>IF(ISBLANK(BC49),"","&lt;br&gt;")</f>
        <v/>
      </c>
      <c r="BB49" s="42">
        <f t="array" ref="BB49">IF(ISBLANK(BC49),"",_xlfn.LET(
_xlpm.words,_xlfn.TEXTSPLIT(TRIM(BC49),"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49" s="50" t="inlineStr">
        <is>
          <t>ISHS relies on contract usage ranging from mobile security to marketing. Ongoing funding loss impact will range from marketing services resulting in less visitation, security services resulting in increased risk, travel resulting in less Idahoans served, and repairs and ongoing maintenance needs deferred resulting in increased costs.</t>
        </is>
      </c>
    </row>
    <row r="50">
      <c r="A50" s="20">
        <f>_xlfn.TEXTJOIN("", TRUE, F50:H50)</f>
        <v/>
      </c>
      <c r="B50" s="21">
        <f>_xlfn.TEXTJOIN("", TRUE, I50:S50)</f>
        <v/>
      </c>
      <c r="C50" s="21">
        <f>IF(ISBLANK(X50),"", _xlfn.TEXTJOIN("",TRUE,T50:Z50))</f>
        <v/>
      </c>
      <c r="D50" s="21">
        <f>IF(ISBLANK(AB50), "", _xlfn.TEXTJOIN("", TRUE, AA50:AC50))</f>
        <v/>
      </c>
      <c r="E50" s="22">
        <f>IF(AU50="NA", _xlfn.TEXTJOIN("", TRUE, AD50:AH50), _xlfn.TEXTJOIN("", TRUE, AD50:AJ50))</f>
        <v/>
      </c>
      <c r="F50" s="42">
        <f>IF(LEFT(G50,4)="FY26","&lt;b&gt;","&lt;i&gt;")</f>
        <v/>
      </c>
      <c r="G50" s="42" t="inlineStr">
        <is>
          <t>FY26 Reduction</t>
        </is>
      </c>
      <c r="H50" s="42">
        <f>IF(LEFT(G50,4)="FY26","&lt;/b&gt;","&lt;/i&gt;")</f>
        <v/>
      </c>
      <c r="I50" s="43" t="inlineStr">
        <is>
          <t>&lt;i&gt;</t>
        </is>
      </c>
      <c r="J50" s="44" t="inlineStr">
        <is>
          <t>Economic Development</t>
        </is>
      </c>
      <c r="K50" s="44" t="inlineStr">
        <is>
          <t>&lt;/i&gt;</t>
        </is>
      </c>
      <c r="L50" s="4">
        <f>IF(ISBLANK(N50),"","&lt;br&gt;")</f>
        <v/>
      </c>
      <c r="M50" s="42">
        <f>IF(ISBLANK(R50),"&lt;b&gt;","&lt;i&gt;")</f>
        <v/>
      </c>
      <c r="N50" s="42" t="inlineStr">
        <is>
          <t>Dept. of Self-Governing Agencies</t>
        </is>
      </c>
      <c r="O50" s="42">
        <f>IF(ISBLANK(R50),"&lt;/b&gt;","&lt;/i&gt;")</f>
        <v/>
      </c>
      <c r="P50" s="4">
        <f>IF(ISBLANK(R50),"","&lt;br&gt;")</f>
        <v/>
      </c>
      <c r="Q50" s="42">
        <f>IF(ISBLANK(R50),"","&lt;b&gt;")</f>
        <v/>
      </c>
      <c r="R50" s="42" t="inlineStr">
        <is>
          <t>State Lottery</t>
        </is>
      </c>
      <c r="S50" s="42">
        <f>IF(ISBLANK(R50),"","&lt;/i&gt;")</f>
        <v/>
      </c>
      <c r="T50" s="43">
        <f>IF(ISBLANK(X50),"",IF(OR(AB50="PASSED",ISBLANK(N50)),"&lt;b&gt;","&lt;i&gt;"))</f>
        <v/>
      </c>
      <c r="U50" s="3">
        <f>IF(ISBLANK(V50),"","&lt;a href='")</f>
        <v/>
      </c>
      <c r="V50" s="39" t="inlineStr">
        <is>
          <t>https://legislature.idaho.gov/sessioninfo/2026/legislation/S1331/</t>
        </is>
      </c>
      <c r="W50" s="17">
        <f>IF(ISBLANK(V50),"","'&gt;")</f>
        <v/>
      </c>
      <c r="X50" s="12" t="inlineStr">
        <is>
          <t>Senate Bill 1331</t>
        </is>
      </c>
      <c r="Y50" s="17">
        <f>IF(ISBLANK(X50),"","&lt;/a&gt;")</f>
        <v/>
      </c>
      <c r="Z50" s="42">
        <f>IF(ISBLANK(X50),"",IF(OR(AB50="PASSED",ISBLANK(N50)),"&lt;/b&gt;","&lt;/i&gt;"))</f>
        <v/>
      </c>
      <c r="AA50" s="43">
        <f>IF(AB50="PASSED","&lt;b&gt;","")</f>
        <v/>
      </c>
      <c r="AB50" s="45" t="inlineStr">
        <is>
          <t>PASSED</t>
        </is>
      </c>
      <c r="AC50" s="43">
        <f>IF(AB50="PASSED","&lt;/b&gt;","")</f>
        <v/>
      </c>
      <c r="AD50" s="43">
        <f>IF(ISBLANK(AE50),"","&lt;b&gt;")</f>
        <v/>
      </c>
      <c r="AE50" s="51" t="inlineStr">
        <is>
          <t>03/06</t>
        </is>
      </c>
      <c r="AF50" s="42">
        <f>IF(ISBLANK(AE50),"",": ")</f>
        <v/>
      </c>
      <c r="AG50" s="42" t="inlineStr">
        <is>
          <t>House Vote 48-22</t>
        </is>
      </c>
      <c r="AH50" s="42">
        <f>IF(ISBLANK(AE50),"","&lt;/b&gt;")</f>
        <v/>
      </c>
      <c r="AI50" s="42" t="inlineStr">
        <is>
          <t>03/02: Senate Vote 18-17&lt;br&gt;02/06: FY26 holdback (-4%)</t>
        </is>
      </c>
      <c r="AJ50" s="42">
        <f>IF(ISBLANK(AI50),"","&lt;br&gt;"&amp;AI50)</f>
        <v/>
      </c>
      <c r="AK50" s="4" t="inlineStr">
        <is>
          <t>&lt;br&gt;</t>
        </is>
      </c>
      <c r="AL50" s="42" t="inlineStr">
        <is>
          <t>&lt;b&gt;&lt;i&gt;</t>
        </is>
      </c>
      <c r="AM50" s="42" t="inlineStr">
        <is>
          <t>Governor's 3% + JFAC's 1%</t>
        </is>
      </c>
      <c r="AN50" s="42">
        <f>IF(ISBLANK(AM50),"","&lt;/i&gt;")</f>
        <v/>
      </c>
      <c r="AO50" s="35">
        <f>IF(ISBLANK(AQ50),"","&lt;/b&gt;&lt;br&gt;&lt;br&gt;")</f>
        <v/>
      </c>
      <c r="AP50" s="42">
        <f>IF(ISBLANK(AQ50),"","&lt;b&gt;")</f>
        <v/>
      </c>
      <c r="AQ50" s="47" t="inlineStr">
        <is>
          <t xml:space="preserve">Agency Reduction Plan:&lt;br&gt;Additional </t>
        </is>
      </c>
      <c r="AR50" s="42" t="inlineStr">
        <is>
          <t>1</t>
        </is>
      </c>
      <c r="AS50" s="4">
        <f>IF(ISBLANK(AR50),""," %")</f>
        <v/>
      </c>
      <c r="AT50" s="4">
        <f t="array" ref="AT50">_xlfn.IFS(NOT(ISBLANK(AU50))," (pgs. ",NOT(ISBLANK(AS50))," (pg. ", ISBLANK(AS50), "")</f>
        <v/>
      </c>
      <c r="AU50" s="52" t="inlineStr">
        <is>
          <t>NA</t>
        </is>
      </c>
      <c r="AV50" s="4">
        <f>IF(ISBLANK(AW50),"",", ")</f>
        <v/>
      </c>
      <c r="AW50" s="42" t="n"/>
      <c r="AX50" s="4">
        <f>IF(ISBLANK(AY50),"",",&lt;br&gt;")</f>
        <v/>
      </c>
      <c r="AY50" s="42" t="n"/>
      <c r="AZ50" s="49">
        <f>IF(ISBLANK(AU50),"",")&lt;/b&gt;")</f>
        <v/>
      </c>
      <c r="BA50" s="4">
        <f>IF(ISBLANK(BC50),"","&lt;br&gt;")</f>
        <v/>
      </c>
      <c r="BB50" s="42">
        <f t="array" ref="BB50">IF(ISBLANK(BC50),"",_xlfn.LET(
_xlpm.words,_xlfn.TEXTSPLIT(TRIM(BC50),"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50" s="50" t="n"/>
    </row>
    <row r="51">
      <c r="A51" s="20">
        <f>_xlfn.TEXTJOIN("", TRUE, F51:H51)</f>
        <v/>
      </c>
      <c r="B51" s="21">
        <f>_xlfn.TEXTJOIN("", TRUE, I51:S51)</f>
        <v/>
      </c>
      <c r="C51" s="21">
        <f>IF(ISBLANK(X51),"", _xlfn.TEXTJOIN("",TRUE,T51:Z51))</f>
        <v/>
      </c>
      <c r="D51" s="21">
        <f>IF(ISBLANK(AB51), "", _xlfn.TEXTJOIN("", TRUE, AA51:AC51))</f>
        <v/>
      </c>
      <c r="E51" s="22">
        <f>IF(AU51="NA", _xlfn.TEXTJOIN("", TRUE, AD51:AH51), _xlfn.TEXTJOIN("", TRUE, AD51:AJ51))</f>
        <v/>
      </c>
      <c r="F51" s="42">
        <f>IF(LEFT(G51,4)="FY26","&lt;b&gt;","&lt;i&gt;")</f>
        <v/>
      </c>
      <c r="G51" s="42" t="inlineStr">
        <is>
          <t>FY26 Reduction</t>
        </is>
      </c>
      <c r="H51" s="42">
        <f>IF(LEFT(G51,4)="FY26","&lt;/b&gt;","&lt;/i&gt;")</f>
        <v/>
      </c>
      <c r="I51" s="43" t="inlineStr">
        <is>
          <t>&lt;i&gt;</t>
        </is>
      </c>
      <c r="J51" s="44" t="inlineStr">
        <is>
          <t>Economic Development</t>
        </is>
      </c>
      <c r="K51" s="44" t="inlineStr">
        <is>
          <t>&lt;/i&gt;</t>
        </is>
      </c>
      <c r="L51" s="4">
        <f>IF(ISBLANK(N51),"","&lt;br&gt;")</f>
        <v/>
      </c>
      <c r="M51" s="42">
        <f>IF(ISBLANK(R51),"&lt;b&gt;","&lt;i&gt;")</f>
        <v/>
      </c>
      <c r="N51" s="42" t="inlineStr">
        <is>
          <t>Dept. of Transportation</t>
        </is>
      </c>
      <c r="O51" s="42">
        <f>IF(ISBLANK(R51),"&lt;/b&gt;","&lt;/i&gt;")</f>
        <v/>
      </c>
      <c r="P51" s="4">
        <f>IF(ISBLANK(R51),"","&lt;br&gt;")</f>
        <v/>
      </c>
      <c r="Q51" s="42">
        <f>IF(ISBLANK(R51),"","&lt;b&gt;")</f>
        <v/>
      </c>
      <c r="R51" s="42" t="inlineStr">
        <is>
          <t>Contract Construction &amp; Right-of-Way</t>
        </is>
      </c>
      <c r="S51" s="42">
        <f>IF(ISBLANK(R51),"","&lt;/i&gt;")</f>
        <v/>
      </c>
      <c r="T51" s="43">
        <f>IF(ISBLANK(X51),"",IF(OR(AB51="PASSED",ISBLANK(N51)),"&lt;b&gt;","&lt;i&gt;"))</f>
        <v/>
      </c>
      <c r="U51" s="3">
        <f>IF(ISBLANK(V51),"","&lt;a href='")</f>
        <v/>
      </c>
      <c r="V51" s="39" t="inlineStr">
        <is>
          <t>https://legislature.idaho.gov/sessioninfo/2026/legislation/S1331/</t>
        </is>
      </c>
      <c r="W51" s="17">
        <f>IF(ISBLANK(V51),"","'&gt;")</f>
        <v/>
      </c>
      <c r="X51" s="12" t="inlineStr">
        <is>
          <t>Senate Bill 1331</t>
        </is>
      </c>
      <c r="Y51" s="17">
        <f>IF(ISBLANK(X51),"","&lt;/a&gt;")</f>
        <v/>
      </c>
      <c r="Z51" s="42">
        <f>IF(ISBLANK(X51),"",IF(OR(AB51="PASSED",ISBLANK(N51)),"&lt;/b&gt;","&lt;/i&gt;"))</f>
        <v/>
      </c>
      <c r="AA51" s="43">
        <f>IF(AB51="PASSED","&lt;b&gt;","")</f>
        <v/>
      </c>
      <c r="AB51" s="45" t="inlineStr">
        <is>
          <t>PASSED</t>
        </is>
      </c>
      <c r="AC51" s="43">
        <f>IF(AB51="PASSED","&lt;/b&gt;","")</f>
        <v/>
      </c>
      <c r="AD51" s="43">
        <f>IF(ISBLANK(AE51),"","&lt;b&gt;")</f>
        <v/>
      </c>
      <c r="AE51" s="51" t="inlineStr">
        <is>
          <t>03/06</t>
        </is>
      </c>
      <c r="AF51" s="42">
        <f>IF(ISBLANK(AE51),"",": ")</f>
        <v/>
      </c>
      <c r="AG51" s="42" t="inlineStr">
        <is>
          <t>House Vote 48-22</t>
        </is>
      </c>
      <c r="AH51" s="42">
        <f>IF(ISBLANK(AE51),"","&lt;/b&gt;")</f>
        <v/>
      </c>
      <c r="AI51" s="42" t="inlineStr">
        <is>
          <t>03/02: Senate Vote 18-17&lt;br&gt;02/06: FY26 holdback (-4%)</t>
        </is>
      </c>
      <c r="AJ51" s="42">
        <f>IF(ISBLANK(AI51),"","&lt;br&gt;"&amp;AI51)</f>
        <v/>
      </c>
      <c r="AK51" s="4" t="inlineStr">
        <is>
          <t>&lt;br&gt;</t>
        </is>
      </c>
      <c r="AL51" s="42" t="inlineStr">
        <is>
          <t>&lt;b&gt;&lt;i&gt;</t>
        </is>
      </c>
      <c r="AM51" s="42" t="inlineStr">
        <is>
          <t>Governor's 3% + JFAC's 1%</t>
        </is>
      </c>
      <c r="AN51" s="42">
        <f>IF(ISBLANK(AM51),"","&lt;/i&gt;")</f>
        <v/>
      </c>
      <c r="AO51" s="35">
        <f>IF(ISBLANK(AQ51),"","&lt;/b&gt;&lt;br&gt;&lt;br&gt;")</f>
        <v/>
      </c>
      <c r="AP51" s="42">
        <f>IF(ISBLANK(AQ51),"","&lt;b&gt;")</f>
        <v/>
      </c>
      <c r="AQ51" s="47" t="inlineStr">
        <is>
          <t xml:space="preserve">Agency Reduction Plan:&lt;br&gt;Additional </t>
        </is>
      </c>
      <c r="AR51" s="42" t="inlineStr">
        <is>
          <t>1</t>
        </is>
      </c>
      <c r="AS51" s="4">
        <f>IF(ISBLANK(AR51),""," %")</f>
        <v/>
      </c>
      <c r="AT51" s="4">
        <f t="array" ref="AT51">_xlfn.IFS(NOT(ISBLANK(AU51))," (pgs. ",NOT(ISBLANK(AS51))," (pg. ", ISBLANK(AS51), "")</f>
        <v/>
      </c>
      <c r="AU51" s="52" t="inlineStr">
        <is>
          <t>NA</t>
        </is>
      </c>
      <c r="AV51" s="4">
        <f>IF(ISBLANK(AW51),"",", ")</f>
        <v/>
      </c>
      <c r="AW51" s="42" t="n"/>
      <c r="AX51" s="4">
        <f>IF(ISBLANK(AY51),"",",&lt;br&gt;")</f>
        <v/>
      </c>
      <c r="AY51" s="42" t="n"/>
      <c r="AZ51" s="49">
        <f>IF(ISBLANK(AU51),"",")&lt;/b&gt;")</f>
        <v/>
      </c>
      <c r="BA51" s="4">
        <f>IF(ISBLANK(BC51),"","&lt;br&gt;")</f>
        <v/>
      </c>
      <c r="BB51" s="42">
        <f t="array" ref="BB51">IF(ISBLANK(BC51),"",_xlfn.LET(
_xlpm.words,_xlfn.TEXTSPLIT(TRIM(BC51),"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51" s="50" t="n"/>
    </row>
    <row r="52">
      <c r="A52" s="20">
        <f>_xlfn.TEXTJOIN("", TRUE, F52:H52)</f>
        <v/>
      </c>
      <c r="B52" s="21">
        <f>_xlfn.TEXTJOIN("", TRUE, I52:S52)</f>
        <v/>
      </c>
      <c r="C52" s="21">
        <f>IF(ISBLANK(X52),"", _xlfn.TEXTJOIN("",TRUE,T52:Z52))</f>
        <v/>
      </c>
      <c r="D52" s="21">
        <f>IF(ISBLANK(AB52), "", _xlfn.TEXTJOIN("", TRUE, AA52:AC52))</f>
        <v/>
      </c>
      <c r="E52" s="22">
        <f>IF(AU52="NA", _xlfn.TEXTJOIN("", TRUE, AD52:AH52), _xlfn.TEXTJOIN("", TRUE, AD52:AJ52))</f>
        <v/>
      </c>
      <c r="F52" s="42">
        <f>IF(LEFT(G52,4)="FY26","&lt;b&gt;","&lt;i&gt;")</f>
        <v/>
      </c>
      <c r="G52" s="42" t="inlineStr">
        <is>
          <t>FY26 Reduction</t>
        </is>
      </c>
      <c r="H52" s="42">
        <f>IF(LEFT(G52,4)="FY26","&lt;/b&gt;","&lt;/i&gt;")</f>
        <v/>
      </c>
      <c r="I52" s="43" t="inlineStr">
        <is>
          <t>&lt;i&gt;</t>
        </is>
      </c>
      <c r="J52" s="44" t="inlineStr">
        <is>
          <t>Economic Development</t>
        </is>
      </c>
      <c r="K52" s="44" t="inlineStr">
        <is>
          <t>&lt;/i&gt;</t>
        </is>
      </c>
      <c r="L52" s="4">
        <f>IF(ISBLANK(N52),"","&lt;br&gt;")</f>
        <v/>
      </c>
      <c r="M52" s="42">
        <f>IF(ISBLANK(R52),"&lt;b&gt;","&lt;i&gt;")</f>
        <v/>
      </c>
      <c r="N52" s="42" t="inlineStr">
        <is>
          <t>Dept. of Transportation</t>
        </is>
      </c>
      <c r="O52" s="42">
        <f>IF(ISBLANK(R52),"&lt;/b&gt;","&lt;/i&gt;")</f>
        <v/>
      </c>
      <c r="P52" s="4">
        <f>IF(ISBLANK(R52),"","&lt;br&gt;")</f>
        <v/>
      </c>
      <c r="Q52" s="42">
        <f>IF(ISBLANK(R52),"","&lt;b&gt;")</f>
        <v/>
      </c>
      <c r="R52" s="42" t="inlineStr">
        <is>
          <t>Highway Operations</t>
        </is>
      </c>
      <c r="S52" s="42">
        <f>IF(ISBLANK(R52),"","&lt;/i&gt;")</f>
        <v/>
      </c>
      <c r="T52" s="43">
        <f>IF(ISBLANK(X52),"",IF(OR(AB52="PASSED",ISBLANK(N52)),"&lt;b&gt;","&lt;i&gt;"))</f>
        <v/>
      </c>
      <c r="U52" s="3">
        <f>IF(ISBLANK(V52),"","&lt;a href='")</f>
        <v/>
      </c>
      <c r="V52" s="39" t="inlineStr">
        <is>
          <t>https://legislature.idaho.gov/sessioninfo/2026/legislation/S1331/</t>
        </is>
      </c>
      <c r="W52" s="17">
        <f>IF(ISBLANK(V52),"","'&gt;")</f>
        <v/>
      </c>
      <c r="X52" s="12" t="inlineStr">
        <is>
          <t>Senate Bill 1331</t>
        </is>
      </c>
      <c r="Y52" s="17">
        <f>IF(ISBLANK(X52),"","&lt;/a&gt;")</f>
        <v/>
      </c>
      <c r="Z52" s="42">
        <f>IF(ISBLANK(X52),"",IF(OR(AB52="PASSED",ISBLANK(N52)),"&lt;/b&gt;","&lt;/i&gt;"))</f>
        <v/>
      </c>
      <c r="AA52" s="43">
        <f>IF(AB52="PASSED","&lt;b&gt;","")</f>
        <v/>
      </c>
      <c r="AB52" s="45" t="inlineStr">
        <is>
          <t>PASSED</t>
        </is>
      </c>
      <c r="AC52" s="43">
        <f>IF(AB52="PASSED","&lt;/b&gt;","")</f>
        <v/>
      </c>
      <c r="AD52" s="43">
        <f>IF(ISBLANK(AE52),"","&lt;b&gt;")</f>
        <v/>
      </c>
      <c r="AE52" s="51" t="inlineStr">
        <is>
          <t>03/06</t>
        </is>
      </c>
      <c r="AF52" s="42">
        <f>IF(ISBLANK(AE52),"",": ")</f>
        <v/>
      </c>
      <c r="AG52" s="42" t="inlineStr">
        <is>
          <t>House Vote 48-22</t>
        </is>
      </c>
      <c r="AH52" s="42">
        <f>IF(ISBLANK(AE52),"","&lt;/b&gt;")</f>
        <v/>
      </c>
      <c r="AI52" s="42" t="inlineStr">
        <is>
          <t>03/02: Senate Vote 18-17&lt;br&gt;02/06: FY26 holdback (-4%)</t>
        </is>
      </c>
      <c r="AJ52" s="42">
        <f>IF(ISBLANK(AI52),"","&lt;br&gt;"&amp;AI52)</f>
        <v/>
      </c>
      <c r="AK52" s="4" t="inlineStr">
        <is>
          <t>&lt;br&gt;</t>
        </is>
      </c>
      <c r="AL52" s="42" t="inlineStr">
        <is>
          <t>&lt;b&gt;&lt;i&gt;</t>
        </is>
      </c>
      <c r="AM52" s="42" t="inlineStr">
        <is>
          <t>Governor's 3% + JFAC's 1%</t>
        </is>
      </c>
      <c r="AN52" s="42">
        <f>IF(ISBLANK(AM52),"","&lt;/i&gt;")</f>
        <v/>
      </c>
      <c r="AO52" s="35">
        <f>IF(ISBLANK(AQ52),"","&lt;/b&gt;&lt;br&gt;&lt;br&gt;")</f>
        <v/>
      </c>
      <c r="AP52" s="42">
        <f>IF(ISBLANK(AQ52),"","&lt;b&gt;")</f>
        <v/>
      </c>
      <c r="AQ52" s="47" t="inlineStr">
        <is>
          <t xml:space="preserve">Agency Reduction Plan:&lt;br&gt;Additional </t>
        </is>
      </c>
      <c r="AR52" s="42" t="inlineStr">
        <is>
          <t>1</t>
        </is>
      </c>
      <c r="AS52" s="4">
        <f>IF(ISBLANK(AR52),""," %")</f>
        <v/>
      </c>
      <c r="AT52" s="4">
        <f t="array" ref="AT52">_xlfn.IFS(NOT(ISBLANK(AU52))," (pgs. ",NOT(ISBLANK(AS52))," (pg. ", ISBLANK(AS52), "")</f>
        <v/>
      </c>
      <c r="AU52" s="52" t="inlineStr">
        <is>
          <t>NA</t>
        </is>
      </c>
      <c r="AV52" s="4">
        <f>IF(ISBLANK(AW52),"",", ")</f>
        <v/>
      </c>
      <c r="AW52" s="42" t="n"/>
      <c r="AX52" s="4">
        <f>IF(ISBLANK(AY52),"",",&lt;br&gt;")</f>
        <v/>
      </c>
      <c r="AY52" s="42" t="n"/>
      <c r="AZ52" s="49">
        <f>IF(ISBLANK(AU52),"",")&lt;/b&gt;")</f>
        <v/>
      </c>
      <c r="BA52" s="4">
        <f>IF(ISBLANK(BC52),"","&lt;br&gt;")</f>
        <v/>
      </c>
      <c r="BB52" s="42">
        <f t="array" ref="BB52">IF(ISBLANK(BC52),"",_xlfn.LET(
_xlpm.words,_xlfn.TEXTSPLIT(TRIM(BC52),"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52" s="50" t="n"/>
    </row>
    <row r="53">
      <c r="A53" s="20">
        <f>_xlfn.TEXTJOIN("", TRUE, F53:H53)</f>
        <v/>
      </c>
      <c r="B53" s="21">
        <f>_xlfn.TEXTJOIN("", TRUE, I53:S53)</f>
        <v/>
      </c>
      <c r="C53" s="21">
        <f>IF(ISBLANK(X53),"", _xlfn.TEXTJOIN("",TRUE,T53:Z53))</f>
        <v/>
      </c>
      <c r="D53" s="21">
        <f>IF(ISBLANK(AB53), "", _xlfn.TEXTJOIN("", TRUE, AA53:AC53))</f>
        <v/>
      </c>
      <c r="E53" s="22">
        <f>IF(AU53="NA", _xlfn.TEXTJOIN("", TRUE, AD53:AH53), _xlfn.TEXTJOIN("", TRUE, AD53:AJ53))</f>
        <v/>
      </c>
      <c r="F53" s="42">
        <f>IF(LEFT(G53,4)="FY26","&lt;b&gt;","&lt;i&gt;")</f>
        <v/>
      </c>
      <c r="G53" s="42" t="inlineStr">
        <is>
          <t>FY26 Reduction</t>
        </is>
      </c>
      <c r="H53" s="42">
        <f>IF(LEFT(G53,4)="FY26","&lt;/b&gt;","&lt;/i&gt;")</f>
        <v/>
      </c>
      <c r="I53" s="43" t="inlineStr">
        <is>
          <t>&lt;i&gt;</t>
        </is>
      </c>
      <c r="J53" s="44" t="inlineStr">
        <is>
          <t>Economic Development</t>
        </is>
      </c>
      <c r="K53" s="44" t="inlineStr">
        <is>
          <t>&lt;/i&gt;</t>
        </is>
      </c>
      <c r="L53" s="4">
        <f>IF(ISBLANK(N53),"","&lt;br&gt;")</f>
        <v/>
      </c>
      <c r="M53" s="42">
        <f>IF(ISBLANK(R53),"&lt;b&gt;","&lt;i&gt;")</f>
        <v/>
      </c>
      <c r="N53" s="42" t="inlineStr">
        <is>
          <t>Dept. of Transportation</t>
        </is>
      </c>
      <c r="O53" s="42">
        <f>IF(ISBLANK(R53),"&lt;/b&gt;","&lt;/i&gt;")</f>
        <v/>
      </c>
      <c r="P53" s="4">
        <f>IF(ISBLANK(R53),"","&lt;br&gt;")</f>
        <v/>
      </c>
      <c r="Q53" s="42">
        <f>IF(ISBLANK(R53),"","&lt;b&gt;")</f>
        <v/>
      </c>
      <c r="R53" s="42" t="inlineStr">
        <is>
          <t>Motor Vehicles</t>
        </is>
      </c>
      <c r="S53" s="42">
        <f>IF(ISBLANK(R53),"","&lt;/i&gt;")</f>
        <v/>
      </c>
      <c r="T53" s="43">
        <f>IF(ISBLANK(X53),"",IF(OR(AB53="PASSED",ISBLANK(N53)),"&lt;b&gt;","&lt;i&gt;"))</f>
        <v/>
      </c>
      <c r="U53" s="3">
        <f>IF(ISBLANK(V53),"","&lt;a href='")</f>
        <v/>
      </c>
      <c r="V53" s="39" t="inlineStr">
        <is>
          <t>https://legislature.idaho.gov/sessioninfo/2026/legislation/S1331/</t>
        </is>
      </c>
      <c r="W53" s="17">
        <f>IF(ISBLANK(V53),"","'&gt;")</f>
        <v/>
      </c>
      <c r="X53" s="12" t="inlineStr">
        <is>
          <t>Senate Bill 1331</t>
        </is>
      </c>
      <c r="Y53" s="17">
        <f>IF(ISBLANK(X53),"","&lt;/a&gt;")</f>
        <v/>
      </c>
      <c r="Z53" s="42">
        <f>IF(ISBLANK(X53),"",IF(OR(AB53="PASSED",ISBLANK(N53)),"&lt;/b&gt;","&lt;/i&gt;"))</f>
        <v/>
      </c>
      <c r="AA53" s="43">
        <f>IF(AB53="PASSED","&lt;b&gt;","")</f>
        <v/>
      </c>
      <c r="AB53" s="45" t="inlineStr">
        <is>
          <t>PASSED</t>
        </is>
      </c>
      <c r="AC53" s="43">
        <f>IF(AB53="PASSED","&lt;/b&gt;","")</f>
        <v/>
      </c>
      <c r="AD53" s="43">
        <f>IF(ISBLANK(AE53),"","&lt;b&gt;")</f>
        <v/>
      </c>
      <c r="AE53" s="51" t="inlineStr">
        <is>
          <t>03/06</t>
        </is>
      </c>
      <c r="AF53" s="42">
        <f>IF(ISBLANK(AE53),"",": ")</f>
        <v/>
      </c>
      <c r="AG53" s="42" t="inlineStr">
        <is>
          <t>House Vote 48-22</t>
        </is>
      </c>
      <c r="AH53" s="42">
        <f>IF(ISBLANK(AE53),"","&lt;/b&gt;")</f>
        <v/>
      </c>
      <c r="AI53" s="42" t="inlineStr">
        <is>
          <t>03/02: Senate Vote 18-17&lt;br&gt;02/06: FY26 holdback (-4%)</t>
        </is>
      </c>
      <c r="AJ53" s="42">
        <f>IF(ISBLANK(AI53),"","&lt;br&gt;"&amp;AI53)</f>
        <v/>
      </c>
      <c r="AK53" s="4" t="inlineStr">
        <is>
          <t>&lt;br&gt;</t>
        </is>
      </c>
      <c r="AL53" s="42" t="inlineStr">
        <is>
          <t>&lt;b&gt;&lt;i&gt;</t>
        </is>
      </c>
      <c r="AM53" s="42" t="inlineStr">
        <is>
          <t>Governor's 3% + JFAC's 1%</t>
        </is>
      </c>
      <c r="AN53" s="42">
        <f>IF(ISBLANK(AM53),"","&lt;/i&gt;")</f>
        <v/>
      </c>
      <c r="AO53" s="35">
        <f>IF(ISBLANK(AQ53),"","&lt;/b&gt;&lt;br&gt;&lt;br&gt;")</f>
        <v/>
      </c>
      <c r="AP53" s="42">
        <f>IF(ISBLANK(AQ53),"","&lt;b&gt;")</f>
        <v/>
      </c>
      <c r="AQ53" s="47" t="inlineStr">
        <is>
          <t xml:space="preserve">Agency Reduction Plan:&lt;br&gt;Additional </t>
        </is>
      </c>
      <c r="AR53" s="42" t="inlineStr">
        <is>
          <t>1</t>
        </is>
      </c>
      <c r="AS53" s="4">
        <f>IF(ISBLANK(AR53),""," %")</f>
        <v/>
      </c>
      <c r="AT53" s="4">
        <f t="array" ref="AT53">_xlfn.IFS(NOT(ISBLANK(AU53))," (pgs. ",NOT(ISBLANK(AS53))," (pg. ", ISBLANK(AS53), "")</f>
        <v/>
      </c>
      <c r="AU53" s="52" t="inlineStr">
        <is>
          <t>NA</t>
        </is>
      </c>
      <c r="AV53" s="4">
        <f>IF(ISBLANK(AW53),"",", ")</f>
        <v/>
      </c>
      <c r="AW53" s="42" t="n"/>
      <c r="AX53" s="4">
        <f>IF(ISBLANK(AY53),"",",&lt;br&gt;")</f>
        <v/>
      </c>
      <c r="AY53" s="42" t="n"/>
      <c r="AZ53" s="49">
        <f>IF(ISBLANK(AU53),"",")&lt;/b&gt;")</f>
        <v/>
      </c>
      <c r="BA53" s="4">
        <f>IF(ISBLANK(BC53),"","&lt;br&gt;")</f>
        <v/>
      </c>
      <c r="BB53" s="42">
        <f t="array" ref="BB53">IF(ISBLANK(BC53),"",_xlfn.LET(
_xlpm.words,_xlfn.TEXTSPLIT(TRIM(BC53),"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53" s="50" t="n"/>
    </row>
    <row r="54">
      <c r="A54" s="20">
        <f>_xlfn.TEXTJOIN("", TRUE, F54:H54)</f>
        <v/>
      </c>
      <c r="B54" s="21">
        <f>_xlfn.TEXTJOIN("", TRUE, I54:S54)</f>
        <v/>
      </c>
      <c r="C54" s="21">
        <f>IF(ISBLANK(X54),"", _xlfn.TEXTJOIN("",TRUE,T54:Z54))</f>
        <v/>
      </c>
      <c r="D54" s="21">
        <f>IF(ISBLANK(AB54), "", _xlfn.TEXTJOIN("", TRUE, AA54:AC54))</f>
        <v/>
      </c>
      <c r="E54" s="22">
        <f>IF(AU54="NA", _xlfn.TEXTJOIN("", TRUE, AD54:AH54), _xlfn.TEXTJOIN("", TRUE, AD54:AJ54))</f>
        <v/>
      </c>
      <c r="F54" s="42">
        <f>IF(LEFT(G54,4)="FY26","&lt;b&gt;","&lt;i&gt;")</f>
        <v/>
      </c>
      <c r="G54" s="42" t="inlineStr">
        <is>
          <t>FY26 Reduction</t>
        </is>
      </c>
      <c r="H54" s="42">
        <f>IF(LEFT(G54,4)="FY26","&lt;/b&gt;","&lt;/i&gt;")</f>
        <v/>
      </c>
      <c r="I54" s="43" t="inlineStr">
        <is>
          <t>&lt;i&gt;</t>
        </is>
      </c>
      <c r="J54" s="44" t="inlineStr">
        <is>
          <t>Economic Development</t>
        </is>
      </c>
      <c r="K54" s="44" t="inlineStr">
        <is>
          <t>&lt;/i&gt;</t>
        </is>
      </c>
      <c r="L54" s="4">
        <f>IF(ISBLANK(N54),"","&lt;br&gt;")</f>
        <v/>
      </c>
      <c r="M54" s="42">
        <f>IF(ISBLANK(R54),"&lt;b&gt;","&lt;i&gt;")</f>
        <v/>
      </c>
      <c r="N54" s="42" t="inlineStr">
        <is>
          <t>Dept. of Transportation</t>
        </is>
      </c>
      <c r="O54" s="42">
        <f>IF(ISBLANK(R54),"&lt;/b&gt;","&lt;/i&gt;")</f>
        <v/>
      </c>
      <c r="P54" s="4">
        <f>IF(ISBLANK(R54),"","&lt;br&gt;")</f>
        <v/>
      </c>
      <c r="Q54" s="42">
        <f>IF(ISBLANK(R54),"","&lt;b&gt;")</f>
        <v/>
      </c>
      <c r="R54" s="42" t="inlineStr">
        <is>
          <t>Transportation Services</t>
        </is>
      </c>
      <c r="S54" s="42">
        <f>IF(ISBLANK(R54),"","&lt;/i&gt;")</f>
        <v/>
      </c>
      <c r="T54" s="43">
        <f>IF(ISBLANK(X54),"",IF(OR(AB54="PASSED",ISBLANK(N54)),"&lt;b&gt;","&lt;i&gt;"))</f>
        <v/>
      </c>
      <c r="U54" s="3">
        <f>IF(ISBLANK(V54),"","&lt;a href='")</f>
        <v/>
      </c>
      <c r="V54" s="39" t="inlineStr">
        <is>
          <t>https://legislature.idaho.gov/sessioninfo/2026/legislation/S1331/</t>
        </is>
      </c>
      <c r="W54" s="17">
        <f>IF(ISBLANK(V54),"","'&gt;")</f>
        <v/>
      </c>
      <c r="X54" s="12" t="inlineStr">
        <is>
          <t>Senate Bill 1331</t>
        </is>
      </c>
      <c r="Y54" s="17">
        <f>IF(ISBLANK(X54),"","&lt;/a&gt;")</f>
        <v/>
      </c>
      <c r="Z54" s="42">
        <f>IF(ISBLANK(X54),"",IF(OR(AB54="PASSED",ISBLANK(N54)),"&lt;/b&gt;","&lt;/i&gt;"))</f>
        <v/>
      </c>
      <c r="AA54" s="43">
        <f>IF(AB54="PASSED","&lt;b&gt;","")</f>
        <v/>
      </c>
      <c r="AB54" s="45" t="inlineStr">
        <is>
          <t>PASSED</t>
        </is>
      </c>
      <c r="AC54" s="43">
        <f>IF(AB54="PASSED","&lt;/b&gt;","")</f>
        <v/>
      </c>
      <c r="AD54" s="43">
        <f>IF(ISBLANK(AE54),"","&lt;b&gt;")</f>
        <v/>
      </c>
      <c r="AE54" s="51" t="inlineStr">
        <is>
          <t>03/06</t>
        </is>
      </c>
      <c r="AF54" s="42">
        <f>IF(ISBLANK(AE54),"",": ")</f>
        <v/>
      </c>
      <c r="AG54" s="42" t="inlineStr">
        <is>
          <t>House Vote 48-22</t>
        </is>
      </c>
      <c r="AH54" s="42">
        <f>IF(ISBLANK(AE54),"","&lt;/b&gt;")</f>
        <v/>
      </c>
      <c r="AI54" s="42" t="inlineStr">
        <is>
          <t>03/02: Senate Vote 18-17&lt;br&gt;02/06: FY26 holdback (-4%)</t>
        </is>
      </c>
      <c r="AJ54" s="42">
        <f>IF(ISBLANK(AI54),"","&lt;br&gt;"&amp;AI54)</f>
        <v/>
      </c>
      <c r="AK54" s="4" t="inlineStr">
        <is>
          <t>&lt;br&gt;</t>
        </is>
      </c>
      <c r="AL54" s="42" t="inlineStr">
        <is>
          <t>&lt;b&gt;&lt;i&gt;</t>
        </is>
      </c>
      <c r="AM54" s="42" t="inlineStr">
        <is>
          <t>Governor's 3% + JFAC's 1%</t>
        </is>
      </c>
      <c r="AN54" s="42">
        <f>IF(ISBLANK(AM54),"","&lt;/i&gt;")</f>
        <v/>
      </c>
      <c r="AO54" s="35">
        <f>IF(ISBLANK(AQ54),"","&lt;/b&gt;&lt;br&gt;&lt;br&gt;")</f>
        <v/>
      </c>
      <c r="AP54" s="42">
        <f>IF(ISBLANK(AQ54),"","&lt;b&gt;")</f>
        <v/>
      </c>
      <c r="AQ54" s="47" t="inlineStr">
        <is>
          <t xml:space="preserve">Agency Reduction Plan:&lt;br&gt;Additional </t>
        </is>
      </c>
      <c r="AR54" s="42" t="inlineStr">
        <is>
          <t>1</t>
        </is>
      </c>
      <c r="AS54" s="4">
        <f>IF(ISBLANK(AR54),""," %")</f>
        <v/>
      </c>
      <c r="AT54" s="4">
        <f t="array" ref="AT54">_xlfn.IFS(NOT(ISBLANK(AU54))," (pgs. ",NOT(ISBLANK(AS54))," (pg. ", ISBLANK(AS54), "")</f>
        <v/>
      </c>
      <c r="AU54" s="52" t="inlineStr">
        <is>
          <t>NA</t>
        </is>
      </c>
      <c r="AV54" s="4">
        <f>IF(ISBLANK(AW54),"",", ")</f>
        <v/>
      </c>
      <c r="AW54" s="42" t="n"/>
      <c r="AX54" s="4">
        <f>IF(ISBLANK(AY54),"",",&lt;br&gt;")</f>
        <v/>
      </c>
      <c r="AY54" s="42" t="n"/>
      <c r="AZ54" s="49">
        <f>IF(ISBLANK(AU54),"",")&lt;/b&gt;")</f>
        <v/>
      </c>
      <c r="BA54" s="4">
        <f>IF(ISBLANK(BC54),"","&lt;br&gt;")</f>
        <v/>
      </c>
      <c r="BB54" s="42">
        <f t="array" ref="BB54">IF(ISBLANK(BC54),"",_xlfn.LET(
_xlpm.words,_xlfn.TEXTSPLIT(TRIM(BC54),"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54" s="50" t="n"/>
    </row>
    <row r="55">
      <c r="A55" s="20">
        <f>_xlfn.TEXTJOIN("", TRUE, F55:H55)</f>
        <v/>
      </c>
      <c r="B55" s="21">
        <f>_xlfn.TEXTJOIN("", TRUE, I55:S55)</f>
        <v/>
      </c>
      <c r="C55" s="21">
        <f>IF(ISBLANK(X55),"", _xlfn.TEXTJOIN("",TRUE,T55:Z55))</f>
        <v/>
      </c>
      <c r="D55" s="21">
        <f>IF(ISBLANK(AB55), "", _xlfn.TEXTJOIN("", TRUE, AA55:AC55))</f>
        <v/>
      </c>
      <c r="E55" s="22">
        <f>IF(AU55="NA", _xlfn.TEXTJOIN("", TRUE, AD55:AH55), _xlfn.TEXTJOIN("", TRUE, AD55:AJ55))</f>
        <v/>
      </c>
      <c r="F55" s="42">
        <f>IF(LEFT(G55,4)="FY26","&lt;b&gt;","&lt;i&gt;")</f>
        <v/>
      </c>
      <c r="G55" s="42" t="inlineStr">
        <is>
          <t>FY26 Reduction</t>
        </is>
      </c>
      <c r="H55" s="42">
        <f>IF(LEFT(G55,4)="FY26","&lt;/b&gt;","&lt;/i&gt;")</f>
        <v/>
      </c>
      <c r="I55" s="43" t="inlineStr">
        <is>
          <t>&lt;i&gt;</t>
        </is>
      </c>
      <c r="J55" s="44" t="inlineStr">
        <is>
          <t>Economic Development</t>
        </is>
      </c>
      <c r="K55" s="44" t="inlineStr">
        <is>
          <t>&lt;/i&gt;</t>
        </is>
      </c>
      <c r="L55" s="4">
        <f>IF(ISBLANK(N55),"","&lt;br&gt;")</f>
        <v/>
      </c>
      <c r="M55" s="42">
        <f>IF(ISBLANK(R55),"&lt;b&gt;","&lt;i&gt;")</f>
        <v/>
      </c>
      <c r="N55" s="42" t="inlineStr">
        <is>
          <t>Industrial Comm.</t>
        </is>
      </c>
      <c r="O55" s="42">
        <f>IF(ISBLANK(R55),"&lt;/b&gt;","&lt;/i&gt;")</f>
        <v/>
      </c>
      <c r="P55" s="4">
        <f>IF(ISBLANK(R55),"","&lt;br&gt;")</f>
        <v/>
      </c>
      <c r="Q55" s="42">
        <f>IF(ISBLANK(R55),"","&lt;b&gt;")</f>
        <v/>
      </c>
      <c r="R55" s="42" t="n"/>
      <c r="S55" s="42">
        <f>IF(ISBLANK(R55),"","&lt;/i&gt;")</f>
        <v/>
      </c>
      <c r="T55" s="43">
        <f>IF(ISBLANK(X55),"",IF(OR(AB55="PASSED",ISBLANK(N55)),"&lt;b&gt;","&lt;i&gt;"))</f>
        <v/>
      </c>
      <c r="U55" s="3">
        <f>IF(ISBLANK(V55),"","&lt;a href='")</f>
        <v/>
      </c>
      <c r="V55" s="39" t="inlineStr">
        <is>
          <t>https://legislature.idaho.gov/sessioninfo/2026/legislation/S1331/</t>
        </is>
      </c>
      <c r="W55" s="17">
        <f>IF(ISBLANK(V55),"","'&gt;")</f>
        <v/>
      </c>
      <c r="X55" s="12" t="inlineStr">
        <is>
          <t>Senate Bill 1331</t>
        </is>
      </c>
      <c r="Y55" s="17">
        <f>IF(ISBLANK(X55),"","&lt;/a&gt;")</f>
        <v/>
      </c>
      <c r="Z55" s="42">
        <f>IF(ISBLANK(X55),"",IF(OR(AB55="PASSED",ISBLANK(N55)),"&lt;/b&gt;","&lt;/i&gt;"))</f>
        <v/>
      </c>
      <c r="AA55" s="43">
        <f>IF(AB55="PASSED","&lt;b&gt;","")</f>
        <v/>
      </c>
      <c r="AB55" s="45" t="inlineStr">
        <is>
          <t>PASSED</t>
        </is>
      </c>
      <c r="AC55" s="43">
        <f>IF(AB55="PASSED","&lt;/b&gt;","")</f>
        <v/>
      </c>
      <c r="AD55" s="43">
        <f>IF(ISBLANK(AE55),"","&lt;b&gt;")</f>
        <v/>
      </c>
      <c r="AE55" s="51" t="inlineStr">
        <is>
          <t>03/06</t>
        </is>
      </c>
      <c r="AF55" s="42">
        <f>IF(ISBLANK(AE55),"",": ")</f>
        <v/>
      </c>
      <c r="AG55" s="42" t="inlineStr">
        <is>
          <t>House Vote 48-22</t>
        </is>
      </c>
      <c r="AH55" s="42">
        <f>IF(ISBLANK(AE55),"","&lt;/b&gt;")</f>
        <v/>
      </c>
      <c r="AI55" s="42" t="inlineStr">
        <is>
          <t>03/02: Senate Vote 18-17&lt;br&gt;02/06: FY26 holdback (-4%)</t>
        </is>
      </c>
      <c r="AJ55" s="42">
        <f>IF(ISBLANK(AI55),"","&lt;br&gt;"&amp;AI55)</f>
        <v/>
      </c>
      <c r="AK55" s="4" t="inlineStr">
        <is>
          <t>&lt;br&gt;</t>
        </is>
      </c>
      <c r="AL55" s="42" t="inlineStr">
        <is>
          <t>&lt;b&gt;&lt;i&gt;</t>
        </is>
      </c>
      <c r="AM55" s="42" t="inlineStr">
        <is>
          <t>Governor's 3% + JFAC's 1%</t>
        </is>
      </c>
      <c r="AN55" s="42">
        <f>IF(ISBLANK(AM55),"","&lt;/i&gt;")</f>
        <v/>
      </c>
      <c r="AO55" s="35">
        <f>IF(ISBLANK(AQ55),"","&lt;/b&gt;&lt;br&gt;&lt;br&gt;")</f>
        <v/>
      </c>
      <c r="AP55" s="42">
        <f>IF(ISBLANK(AQ55),"","&lt;b&gt;")</f>
        <v/>
      </c>
      <c r="AQ55" s="47" t="inlineStr">
        <is>
          <t xml:space="preserve">Agency Reduction Plan:&lt;br&gt;Additional </t>
        </is>
      </c>
      <c r="AR55" s="42" t="inlineStr">
        <is>
          <t>1</t>
        </is>
      </c>
      <c r="AS55" s="4">
        <f>IF(ISBLANK(AR55),""," %")</f>
        <v/>
      </c>
      <c r="AT55" s="4">
        <f t="array" ref="AT55">_xlfn.IFS(NOT(ISBLANK(AU55))," (pgs. ",NOT(ISBLANK(AS55))," (pg. ", ISBLANK(AS55), "")</f>
        <v/>
      </c>
      <c r="AU55" s="52" t="n">
        <v>152</v>
      </c>
      <c r="AV55" s="4">
        <f>IF(ISBLANK(AW55),"",", ")</f>
        <v/>
      </c>
      <c r="AW55" s="42" t="n"/>
      <c r="AX55" s="4">
        <f>IF(ISBLANK(AY55),"",",&lt;br&gt;")</f>
        <v/>
      </c>
      <c r="AY55" s="42" t="n"/>
      <c r="AZ55" s="49">
        <f>IF(ISBLANK(AU55),"",")&lt;/b&gt;")</f>
        <v/>
      </c>
      <c r="BA55" s="4">
        <f>IF(ISBLANK(BC55),"","&lt;br&gt;")</f>
        <v/>
      </c>
      <c r="BB55" s="42">
        <f t="array" ref="BB55">IF(ISBLANK(BC55),"",_xlfn.LET(
_xlpm.words,_xlfn.TEXTSPLIT(TRIM(BC55),"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55" s="50" t="inlineStr">
        <is>
          <t>Since our General Fund appropriation can only be used for payment of adult sexual assault forensic examinations, and cannot be used to cover Trustee and Benefit payments for other services, our risks of exceeding the General Fund appropriation are limited. In past years, the General Fund appropriation has been sufficient to cover all costs for these examinations, with the most recent reversion for FY2025 totaling $32,800. Should the General Fund appropriation be exhausted, the costs for these examinations can be shifted to our Dedicated and Federal Funds. Total appropriations for administration of the CVCP are currently sufficient to absorb the estimated General Fund reductions. Therefore, the Commission does not anticipate difficulties in paying all eligible claims and in covering the administration of the program.</t>
        </is>
      </c>
    </row>
    <row r="56">
      <c r="A56" s="20">
        <f>_xlfn.TEXTJOIN("", TRUE, F56:H56)</f>
        <v/>
      </c>
      <c r="B56" s="21">
        <f>_xlfn.TEXTJOIN("", TRUE, I56:S56)</f>
        <v/>
      </c>
      <c r="C56" s="21">
        <f>IF(ISBLANK(X56),"", _xlfn.TEXTJOIN("",TRUE,T56:Z56))</f>
        <v/>
      </c>
      <c r="D56" s="21">
        <f>IF(ISBLANK(AB56), "", _xlfn.TEXTJOIN("", TRUE, AA56:AC56))</f>
        <v/>
      </c>
      <c r="E56" s="22">
        <f>IF(AU56="NA", _xlfn.TEXTJOIN("", TRUE, AD56:AH56), _xlfn.TEXTJOIN("", TRUE, AD56:AJ56))</f>
        <v/>
      </c>
      <c r="F56" s="42">
        <f>IF(LEFT(G56,4)="FY26","&lt;b&gt;","&lt;i&gt;")</f>
        <v/>
      </c>
      <c r="G56" s="42" t="inlineStr">
        <is>
          <t>FY26 Reduction</t>
        </is>
      </c>
      <c r="H56" s="42">
        <f>IF(LEFT(G56,4)="FY26","&lt;/b&gt;","&lt;/i&gt;")</f>
        <v/>
      </c>
      <c r="I56" s="43" t="inlineStr">
        <is>
          <t>&lt;i&gt;</t>
        </is>
      </c>
      <c r="J56" s="44" t="inlineStr">
        <is>
          <t>Economic Development</t>
        </is>
      </c>
      <c r="K56" s="44" t="inlineStr">
        <is>
          <t>&lt;/i&gt;</t>
        </is>
      </c>
      <c r="L56" s="4">
        <f>IF(ISBLANK(N56),"","&lt;br&gt;")</f>
        <v/>
      </c>
      <c r="M56" s="42">
        <f>IF(ISBLANK(R56),"&lt;b&gt;","&lt;i&gt;")</f>
        <v/>
      </c>
      <c r="N56" s="42" t="inlineStr">
        <is>
          <t>Public Utilities Comm.</t>
        </is>
      </c>
      <c r="O56" s="42">
        <f>IF(ISBLANK(R56),"&lt;/b&gt;","&lt;/i&gt;")</f>
        <v/>
      </c>
      <c r="P56" s="4">
        <f>IF(ISBLANK(R56),"","&lt;br&gt;")</f>
        <v/>
      </c>
      <c r="Q56" s="42">
        <f>IF(ISBLANK(R56),"","&lt;b&gt;")</f>
        <v/>
      </c>
      <c r="R56" s="42" t="n"/>
      <c r="S56" s="42">
        <f>IF(ISBLANK(R56),"","&lt;/i&gt;")</f>
        <v/>
      </c>
      <c r="T56" s="43">
        <f>IF(ISBLANK(X56),"",IF(OR(AB56="PASSED",ISBLANK(N56)),"&lt;b&gt;","&lt;i&gt;"))</f>
        <v/>
      </c>
      <c r="U56" s="3">
        <f>IF(ISBLANK(V56),"","&lt;a href='")</f>
        <v/>
      </c>
      <c r="V56" s="39" t="inlineStr">
        <is>
          <t>https://legislature.idaho.gov/sessioninfo/2026/legislation/S1331/</t>
        </is>
      </c>
      <c r="W56" s="17">
        <f>IF(ISBLANK(V56),"","'&gt;")</f>
        <v/>
      </c>
      <c r="X56" s="12" t="inlineStr">
        <is>
          <t>Senate Bill 1331</t>
        </is>
      </c>
      <c r="Y56" s="17">
        <f>IF(ISBLANK(X56),"","&lt;/a&gt;")</f>
        <v/>
      </c>
      <c r="Z56" s="42">
        <f>IF(ISBLANK(X56),"",IF(OR(AB56="PASSED",ISBLANK(N56)),"&lt;/b&gt;","&lt;/i&gt;"))</f>
        <v/>
      </c>
      <c r="AA56" s="43">
        <f>IF(AB56="PASSED","&lt;b&gt;","")</f>
        <v/>
      </c>
      <c r="AB56" s="45" t="inlineStr">
        <is>
          <t>PASSED</t>
        </is>
      </c>
      <c r="AC56" s="43">
        <f>IF(AB56="PASSED","&lt;/b&gt;","")</f>
        <v/>
      </c>
      <c r="AD56" s="43">
        <f>IF(ISBLANK(AE56),"","&lt;b&gt;")</f>
        <v/>
      </c>
      <c r="AE56" s="51" t="inlineStr">
        <is>
          <t>03/06</t>
        </is>
      </c>
      <c r="AF56" s="42">
        <f>IF(ISBLANK(AE56),"",": ")</f>
        <v/>
      </c>
      <c r="AG56" s="42" t="inlineStr">
        <is>
          <t>House Vote 48-22</t>
        </is>
      </c>
      <c r="AH56" s="42">
        <f>IF(ISBLANK(AE56),"","&lt;/b&gt;")</f>
        <v/>
      </c>
      <c r="AI56" s="42" t="inlineStr">
        <is>
          <t>03/02: Senate Vote 18-17&lt;br&gt;02/06: FY26 holdback (-4%)</t>
        </is>
      </c>
      <c r="AJ56" s="42">
        <f>IF(ISBLANK(AI56),"","&lt;br&gt;"&amp;AI56)</f>
        <v/>
      </c>
      <c r="AK56" s="4" t="inlineStr">
        <is>
          <t>&lt;br&gt;</t>
        </is>
      </c>
      <c r="AL56" s="42" t="inlineStr">
        <is>
          <t>&lt;b&gt;&lt;i&gt;</t>
        </is>
      </c>
      <c r="AM56" s="42" t="inlineStr">
        <is>
          <t>Governor's 3% + JFAC's 1%</t>
        </is>
      </c>
      <c r="AN56" s="42">
        <f>IF(ISBLANK(AM56),"","&lt;/i&gt;")</f>
        <v/>
      </c>
      <c r="AO56" s="35">
        <f>IF(ISBLANK(AQ56),"","&lt;/b&gt;&lt;br&gt;&lt;br&gt;")</f>
        <v/>
      </c>
      <c r="AP56" s="42">
        <f>IF(ISBLANK(AQ56),"","&lt;b&gt;")</f>
        <v/>
      </c>
      <c r="AQ56" s="47" t="inlineStr">
        <is>
          <t xml:space="preserve">Agency Reduction Plan:&lt;br&gt;Additional </t>
        </is>
      </c>
      <c r="AR56" s="42" t="inlineStr">
        <is>
          <t>1</t>
        </is>
      </c>
      <c r="AS56" s="4">
        <f>IF(ISBLANK(AR56),""," %")</f>
        <v/>
      </c>
      <c r="AT56" s="4">
        <f t="array" ref="AT56">_xlfn.IFS(NOT(ISBLANK(AU56))," (pgs. ",NOT(ISBLANK(AS56))," (pg. ", ISBLANK(AS56), "")</f>
        <v/>
      </c>
      <c r="AU56" s="52" t="inlineStr">
        <is>
          <t>NA</t>
        </is>
      </c>
      <c r="AV56" s="4">
        <f>IF(ISBLANK(AW56),"",", ")</f>
        <v/>
      </c>
      <c r="AW56" s="42" t="n"/>
      <c r="AX56" s="4">
        <f>IF(ISBLANK(AY56),"",",&lt;br&gt;")</f>
        <v/>
      </c>
      <c r="AY56" s="42" t="n"/>
      <c r="AZ56" s="49">
        <f>IF(ISBLANK(AU56),"",")&lt;/b&gt;")</f>
        <v/>
      </c>
      <c r="BA56" s="4">
        <f>IF(ISBLANK(BC56),"","&lt;br&gt;")</f>
        <v/>
      </c>
      <c r="BB56" s="42">
        <f t="array" ref="BB56">IF(ISBLANK(BC56),"",_xlfn.LET(
_xlpm.words,_xlfn.TEXTSPLIT(TRIM(BC56),"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56" s="50" t="n"/>
    </row>
    <row r="57">
      <c r="A57" s="20">
        <f>_xlfn.TEXTJOIN("", TRUE, F57:H57)</f>
        <v/>
      </c>
      <c r="B57" s="21">
        <f>_xlfn.TEXTJOIN("", TRUE, I57:S57)</f>
        <v/>
      </c>
      <c r="C57" s="21">
        <f>IF(ISBLANK(X57),"", _xlfn.TEXTJOIN("",TRUE,T57:Z57))</f>
        <v/>
      </c>
      <c r="D57" s="21">
        <f>IF(ISBLANK(AB57), "", _xlfn.TEXTJOIN("", TRUE, AA57:AC57))</f>
        <v/>
      </c>
      <c r="E57" s="22">
        <f>IF(AU57="NA", _xlfn.TEXTJOIN("", TRUE, AD57:AH57), _xlfn.TEXTJOIN("", TRUE, AD57:AJ57))</f>
        <v/>
      </c>
      <c r="F57" s="42">
        <f>IF(LEFT(G57,4)="FY26","&lt;b&gt;","&lt;i&gt;")</f>
        <v/>
      </c>
      <c r="G57" s="42" t="inlineStr">
        <is>
          <t>FY26 Reduction</t>
        </is>
      </c>
      <c r="H57" s="42">
        <f>IF(LEFT(G57,4)="FY26","&lt;/b&gt;","&lt;/i&gt;")</f>
        <v/>
      </c>
      <c r="I57" s="43" t="inlineStr">
        <is>
          <t>&lt;i&gt;</t>
        </is>
      </c>
      <c r="J57" s="44" t="inlineStr">
        <is>
          <t>General Government</t>
        </is>
      </c>
      <c r="K57" s="44" t="inlineStr">
        <is>
          <t>&lt;/i&gt;</t>
        </is>
      </c>
      <c r="L57" s="4">
        <f>IF(ISBLANK(N57),"","&lt;br&gt;")</f>
        <v/>
      </c>
      <c r="M57" s="42">
        <f>IF(ISBLANK(R57),"&lt;b&gt;","&lt;i&gt;")</f>
        <v/>
      </c>
      <c r="N57" s="42" t="inlineStr">
        <is>
          <t>Dept. of Administration</t>
        </is>
      </c>
      <c r="O57" s="42">
        <f>IF(ISBLANK(R57),"&lt;/b&gt;","&lt;/i&gt;")</f>
        <v/>
      </c>
      <c r="P57" s="4">
        <f>IF(ISBLANK(R57),"","&lt;br&gt;")</f>
        <v/>
      </c>
      <c r="Q57" s="42">
        <f>IF(ISBLANK(R57),"","&lt;b&gt;")</f>
        <v/>
      </c>
      <c r="R57" s="42" t="n"/>
      <c r="S57" s="42">
        <f>IF(ISBLANK(R57),"","&lt;/i&gt;")</f>
        <v/>
      </c>
      <c r="T57" s="43">
        <f>IF(ISBLANK(X57),"",IF(OR(AB57="PASSED",ISBLANK(N57)),"&lt;b&gt;","&lt;i&gt;"))</f>
        <v/>
      </c>
      <c r="U57" s="3">
        <f>IF(ISBLANK(V57),"","&lt;a href='")</f>
        <v/>
      </c>
      <c r="V57" s="39" t="inlineStr">
        <is>
          <t>https://legislature.idaho.gov/sessioninfo/2026/legislation/S1331/</t>
        </is>
      </c>
      <c r="W57" s="17">
        <f>IF(ISBLANK(V57),"","'&gt;")</f>
        <v/>
      </c>
      <c r="X57" s="12" t="inlineStr">
        <is>
          <t>Senate Bill 1331</t>
        </is>
      </c>
      <c r="Y57" s="17">
        <f>IF(ISBLANK(X57),"","&lt;/a&gt;")</f>
        <v/>
      </c>
      <c r="Z57" s="42">
        <f>IF(ISBLANK(X57),"",IF(OR(AB57="PASSED",ISBLANK(N57)),"&lt;/b&gt;","&lt;/i&gt;"))</f>
        <v/>
      </c>
      <c r="AA57" s="43">
        <f>IF(AB57="PASSED","&lt;b&gt;","")</f>
        <v/>
      </c>
      <c r="AB57" s="45" t="inlineStr">
        <is>
          <t>PASSED</t>
        </is>
      </c>
      <c r="AC57" s="43">
        <f>IF(AB57="PASSED","&lt;/b&gt;","")</f>
        <v/>
      </c>
      <c r="AD57" s="43">
        <f>IF(ISBLANK(AE57),"","&lt;b&gt;")</f>
        <v/>
      </c>
      <c r="AE57" s="51" t="inlineStr">
        <is>
          <t>03/06</t>
        </is>
      </c>
      <c r="AF57" s="42">
        <f>IF(ISBLANK(AE57),"",": ")</f>
        <v/>
      </c>
      <c r="AG57" s="42" t="inlineStr">
        <is>
          <t>House Vote 48-22</t>
        </is>
      </c>
      <c r="AH57" s="42">
        <f>IF(ISBLANK(AE57),"","&lt;/b&gt;")</f>
        <v/>
      </c>
      <c r="AI57" s="42" t="inlineStr">
        <is>
          <t>03/02: Senate Vote 18-17&lt;br&gt;02/06: FY26 holdback (-4%)</t>
        </is>
      </c>
      <c r="AJ57" s="42">
        <f>IF(ISBLANK(AI57),"","&lt;br&gt;"&amp;AI57)</f>
        <v/>
      </c>
      <c r="AK57" s="4" t="inlineStr">
        <is>
          <t>&lt;br&gt;</t>
        </is>
      </c>
      <c r="AL57" s="42" t="inlineStr">
        <is>
          <t>&lt;b&gt;&lt;i&gt;</t>
        </is>
      </c>
      <c r="AM57" s="42" t="inlineStr">
        <is>
          <t>Governor's 3% + JFAC's 1%</t>
        </is>
      </c>
      <c r="AN57" s="42">
        <f>IF(ISBLANK(AM57),"","&lt;/i&gt;")</f>
        <v/>
      </c>
      <c r="AO57" s="35">
        <f>IF(ISBLANK(AQ57),"","&lt;/b&gt;&lt;br&gt;&lt;br&gt;")</f>
        <v/>
      </c>
      <c r="AP57" s="42">
        <f>IF(ISBLANK(AQ57),"","&lt;b&gt;")</f>
        <v/>
      </c>
      <c r="AQ57" s="47" t="inlineStr">
        <is>
          <t xml:space="preserve">Agency Reduction Plan:&lt;br&gt;Additional </t>
        </is>
      </c>
      <c r="AR57" s="42" t="inlineStr">
        <is>
          <t>1</t>
        </is>
      </c>
      <c r="AS57" s="4">
        <f>IF(ISBLANK(AR57),""," %")</f>
        <v/>
      </c>
      <c r="AT57" s="4">
        <f t="array" ref="AT57">_xlfn.IFS(NOT(ISBLANK(AU57))," (pgs. ",NOT(ISBLANK(AS57))," (pg. ", ISBLANK(AS57), "")</f>
        <v/>
      </c>
      <c r="AU57" s="52" t="n">
        <v>191</v>
      </c>
      <c r="AV57" s="4">
        <f>IF(ISBLANK(AW57),"",", ")</f>
        <v/>
      </c>
      <c r="AW57" s="42" t="n"/>
      <c r="AX57" s="4">
        <f>IF(ISBLANK(AY57),"",",&lt;br&gt;")</f>
        <v/>
      </c>
      <c r="AY57" s="42" t="n"/>
      <c r="AZ57" s="49">
        <f>IF(ISBLANK(AU57),"",")&lt;/b&gt;")</f>
        <v/>
      </c>
      <c r="BA57" s="4">
        <f>IF(ISBLANK(BC57),"","&lt;br&gt;")</f>
        <v/>
      </c>
      <c r="BB57" s="42">
        <f t="array" ref="BB57">IF(ISBLANK(BC57),"",_xlfn.LET(
_xlpm.words,_xlfn.TEXTSPLIT(TRIM(BC57),"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57" s="50" t="inlineStr">
        <is>
          <t>Utilization of one time salary savings resulting from high turnover and vacancy rates, and the position identified for potential FY27 reduction.</t>
        </is>
      </c>
    </row>
    <row r="58">
      <c r="A58" s="20">
        <f>_xlfn.TEXTJOIN("", TRUE, F58:H58)</f>
        <v/>
      </c>
      <c r="B58" s="21">
        <f>_xlfn.TEXTJOIN("", TRUE, I58:S58)</f>
        <v/>
      </c>
      <c r="C58" s="21">
        <f>IF(ISBLANK(X58),"", _xlfn.TEXTJOIN("",TRUE,T58:Z58))</f>
        <v/>
      </c>
      <c r="D58" s="21">
        <f>IF(ISBLANK(AB58), "", _xlfn.TEXTJOIN("", TRUE, AA58:AC58))</f>
        <v/>
      </c>
      <c r="E58" s="22">
        <f>IF(AU58="NA", _xlfn.TEXTJOIN("", TRUE, AD58:AH58), _xlfn.TEXTJOIN("", TRUE, AD58:AJ58))</f>
        <v/>
      </c>
      <c r="F58" s="42">
        <f>IF(LEFT(G58,4)="FY26","&lt;b&gt;","&lt;i&gt;")</f>
        <v/>
      </c>
      <c r="G58" s="42" t="inlineStr">
        <is>
          <t>FY26 Reduction</t>
        </is>
      </c>
      <c r="H58" s="42">
        <f>IF(LEFT(G58,4)="FY26","&lt;/b&gt;","&lt;/i&gt;")</f>
        <v/>
      </c>
      <c r="I58" s="43" t="inlineStr">
        <is>
          <t>&lt;i&gt;</t>
        </is>
      </c>
      <c r="J58" s="44" t="inlineStr">
        <is>
          <t>General Government</t>
        </is>
      </c>
      <c r="K58" s="44" t="inlineStr">
        <is>
          <t>&lt;/i&gt;</t>
        </is>
      </c>
      <c r="L58" s="4">
        <f>IF(ISBLANK(N58),"","&lt;br&gt;")</f>
        <v/>
      </c>
      <c r="M58" s="42">
        <f>IF(ISBLANK(R58),"&lt;b&gt;","&lt;i&gt;")</f>
        <v/>
      </c>
      <c r="N58" s="42" t="inlineStr">
        <is>
          <t>Dept. of Administration</t>
        </is>
      </c>
      <c r="O58" s="42">
        <f>IF(ISBLANK(R58),"&lt;/b&gt;","&lt;/i&gt;")</f>
        <v/>
      </c>
      <c r="P58" s="4">
        <f>IF(ISBLANK(R58),"","&lt;br&gt;")</f>
        <v/>
      </c>
      <c r="Q58" s="42">
        <f>IF(ISBLANK(R58),"","&lt;b&gt;")</f>
        <v/>
      </c>
      <c r="R58" s="42" t="inlineStr">
        <is>
          <t>Capitol Comm.</t>
        </is>
      </c>
      <c r="S58" s="42">
        <f>IF(ISBLANK(R58),"","&lt;/i&gt;")</f>
        <v/>
      </c>
      <c r="T58" s="43">
        <f>IF(ISBLANK(X58),"",IF(OR(AB58="PASSED",ISBLANK(N58)),"&lt;b&gt;","&lt;i&gt;"))</f>
        <v/>
      </c>
      <c r="U58" s="3">
        <f>IF(ISBLANK(V58),"","&lt;a href='")</f>
        <v/>
      </c>
      <c r="V58" s="39" t="inlineStr">
        <is>
          <t>https://legislature.idaho.gov/sessioninfo/2026/legislation/S1331/</t>
        </is>
      </c>
      <c r="W58" s="17">
        <f>IF(ISBLANK(V58),"","'&gt;")</f>
        <v/>
      </c>
      <c r="X58" s="12" t="inlineStr">
        <is>
          <t>Senate Bill 1331</t>
        </is>
      </c>
      <c r="Y58" s="17">
        <f>IF(ISBLANK(X58),"","&lt;/a&gt;")</f>
        <v/>
      </c>
      <c r="Z58" s="42">
        <f>IF(ISBLANK(X58),"",IF(OR(AB58="PASSED",ISBLANK(N58)),"&lt;/b&gt;","&lt;/i&gt;"))</f>
        <v/>
      </c>
      <c r="AA58" s="43">
        <f>IF(AB58="PASSED","&lt;b&gt;","")</f>
        <v/>
      </c>
      <c r="AB58" s="45" t="inlineStr">
        <is>
          <t>PASSED</t>
        </is>
      </c>
      <c r="AC58" s="43">
        <f>IF(AB58="PASSED","&lt;/b&gt;","")</f>
        <v/>
      </c>
      <c r="AD58" s="43">
        <f>IF(ISBLANK(AE58),"","&lt;b&gt;")</f>
        <v/>
      </c>
      <c r="AE58" s="51" t="inlineStr">
        <is>
          <t>03/06</t>
        </is>
      </c>
      <c r="AF58" s="42">
        <f>IF(ISBLANK(AE58),"",": ")</f>
        <v/>
      </c>
      <c r="AG58" s="42" t="inlineStr">
        <is>
          <t>House Vote 48-22</t>
        </is>
      </c>
      <c r="AH58" s="42">
        <f>IF(ISBLANK(AE58),"","&lt;/b&gt;")</f>
        <v/>
      </c>
      <c r="AI58" s="42" t="inlineStr">
        <is>
          <t>03/02: Senate Vote 18-17&lt;br&gt;02/06: FY26 holdback (-4%)</t>
        </is>
      </c>
      <c r="AJ58" s="42">
        <f>IF(ISBLANK(AI58),"","&lt;br&gt;"&amp;AI58)</f>
        <v/>
      </c>
      <c r="AK58" s="4" t="inlineStr">
        <is>
          <t>&lt;br&gt;</t>
        </is>
      </c>
      <c r="AL58" s="42" t="inlineStr">
        <is>
          <t>&lt;b&gt;&lt;i&gt;</t>
        </is>
      </c>
      <c r="AM58" s="42" t="inlineStr">
        <is>
          <t>Governor's 3% + JFAC's 1%</t>
        </is>
      </c>
      <c r="AN58" s="42">
        <f>IF(ISBLANK(AM58),"","&lt;/i&gt;")</f>
        <v/>
      </c>
      <c r="AO58" s="35">
        <f>IF(ISBLANK(AQ58),"","&lt;/b&gt;&lt;br&gt;&lt;br&gt;")</f>
        <v/>
      </c>
      <c r="AP58" s="42">
        <f>IF(ISBLANK(AQ58),"","&lt;b&gt;")</f>
        <v/>
      </c>
      <c r="AQ58" s="47" t="inlineStr">
        <is>
          <t xml:space="preserve">Agency Reduction Plan:&lt;br&gt;Additional </t>
        </is>
      </c>
      <c r="AR58" s="42" t="inlineStr">
        <is>
          <t>1</t>
        </is>
      </c>
      <c r="AS58" s="4">
        <f>IF(ISBLANK(AR58),""," %")</f>
        <v/>
      </c>
      <c r="AT58" s="4">
        <f t="array" ref="AT58">_xlfn.IFS(NOT(ISBLANK(AU58))," (pgs. ",NOT(ISBLANK(AS58))," (pg. ", ISBLANK(AS58), "")</f>
        <v/>
      </c>
      <c r="AU58" s="52" t="inlineStr">
        <is>
          <t>NA</t>
        </is>
      </c>
      <c r="AV58" s="4">
        <f>IF(ISBLANK(AW58),"",", ")</f>
        <v/>
      </c>
      <c r="AW58" s="42" t="n"/>
      <c r="AX58" s="4">
        <f>IF(ISBLANK(AY58),"",",&lt;br&gt;")</f>
        <v/>
      </c>
      <c r="AY58" s="42" t="n"/>
      <c r="AZ58" s="49">
        <f>IF(ISBLANK(AU58),"",")&lt;/b&gt;")</f>
        <v/>
      </c>
      <c r="BA58" s="4">
        <f>IF(ISBLANK(BC58),"","&lt;br&gt;")</f>
        <v/>
      </c>
      <c r="BB58" s="42">
        <f t="array" ref="BB58">IF(ISBLANK(BC58),"",_xlfn.LET(
_xlpm.words,_xlfn.TEXTSPLIT(TRIM(BC58),"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58" s="50" t="n"/>
    </row>
    <row r="59">
      <c r="A59" s="20">
        <f>_xlfn.TEXTJOIN("", TRUE, F59:H59)</f>
        <v/>
      </c>
      <c r="B59" s="21">
        <f>_xlfn.TEXTJOIN("", TRUE, I59:S59)</f>
        <v/>
      </c>
      <c r="C59" s="21">
        <f>IF(ISBLANK(X59),"", _xlfn.TEXTJOIN("",TRUE,T59:Z59))</f>
        <v/>
      </c>
      <c r="D59" s="21">
        <f>IF(ISBLANK(AB59), "", _xlfn.TEXTJOIN("", TRUE, AA59:AC59))</f>
        <v/>
      </c>
      <c r="E59" s="22">
        <f>IF(AU59="NA", _xlfn.TEXTJOIN("", TRUE, AD59:AH59), _xlfn.TEXTJOIN("", TRUE, AD59:AJ59))</f>
        <v/>
      </c>
      <c r="F59" s="42">
        <f>IF(LEFT(G59,4)="FY26","&lt;b&gt;","&lt;i&gt;")</f>
        <v/>
      </c>
      <c r="G59" s="42" t="inlineStr">
        <is>
          <t>FY26 Reduction</t>
        </is>
      </c>
      <c r="H59" s="42">
        <f>IF(LEFT(G59,4)="FY26","&lt;/b&gt;","&lt;/i&gt;")</f>
        <v/>
      </c>
      <c r="I59" s="43" t="inlineStr">
        <is>
          <t>&lt;i&gt;</t>
        </is>
      </c>
      <c r="J59" s="44" t="inlineStr">
        <is>
          <t>General Government</t>
        </is>
      </c>
      <c r="K59" s="44" t="inlineStr">
        <is>
          <t>&lt;/i&gt;</t>
        </is>
      </c>
      <c r="L59" s="4">
        <f>IF(ISBLANK(N59),"","&lt;br&gt;")</f>
        <v/>
      </c>
      <c r="M59" s="42">
        <f>IF(ISBLANK(R59),"&lt;b&gt;","&lt;i&gt;")</f>
        <v/>
      </c>
      <c r="N59" s="42" t="inlineStr">
        <is>
          <t>Dept. of Administration</t>
        </is>
      </c>
      <c r="O59" s="42">
        <f>IF(ISBLANK(R59),"&lt;/b&gt;","&lt;/i&gt;")</f>
        <v/>
      </c>
      <c r="P59" s="4">
        <f>IF(ISBLANK(R59),"","&lt;br&gt;")</f>
        <v/>
      </c>
      <c r="Q59" s="42">
        <f>IF(ISBLANK(R59),"","&lt;b&gt;")</f>
        <v/>
      </c>
      <c r="R59" s="42" t="inlineStr">
        <is>
          <t>Permanent Building Fund</t>
        </is>
      </c>
      <c r="S59" s="42">
        <f>IF(ISBLANK(R59),"","&lt;/i&gt;")</f>
        <v/>
      </c>
      <c r="T59" s="43">
        <f>IF(ISBLANK(X59),"",IF(OR(AB59="PASSED",ISBLANK(N59)),"&lt;b&gt;","&lt;i&gt;"))</f>
        <v/>
      </c>
      <c r="U59" s="3">
        <f>IF(ISBLANK(V59),"","&lt;a href='")</f>
        <v/>
      </c>
      <c r="V59" s="39" t="inlineStr">
        <is>
          <t>https://legislature.idaho.gov/sessioninfo/2026/legislation/S1331/</t>
        </is>
      </c>
      <c r="W59" s="17">
        <f>IF(ISBLANK(V59),"","'&gt;")</f>
        <v/>
      </c>
      <c r="X59" s="12" t="inlineStr">
        <is>
          <t>Senate Bill 1331</t>
        </is>
      </c>
      <c r="Y59" s="17">
        <f>IF(ISBLANK(X59),"","&lt;/a&gt;")</f>
        <v/>
      </c>
      <c r="Z59" s="42">
        <f>IF(ISBLANK(X59),"",IF(OR(AB59="PASSED",ISBLANK(N59)),"&lt;/b&gt;","&lt;/i&gt;"))</f>
        <v/>
      </c>
      <c r="AA59" s="43">
        <f>IF(AB59="PASSED","&lt;b&gt;","")</f>
        <v/>
      </c>
      <c r="AB59" s="45" t="inlineStr">
        <is>
          <t>PASSED</t>
        </is>
      </c>
      <c r="AC59" s="43">
        <f>IF(AB59="PASSED","&lt;/b&gt;","")</f>
        <v/>
      </c>
      <c r="AD59" s="43">
        <f>IF(ISBLANK(AE59),"","&lt;b&gt;")</f>
        <v/>
      </c>
      <c r="AE59" s="51" t="inlineStr">
        <is>
          <t>03/06</t>
        </is>
      </c>
      <c r="AF59" s="42">
        <f>IF(ISBLANK(AE59),"",": ")</f>
        <v/>
      </c>
      <c r="AG59" s="42" t="inlineStr">
        <is>
          <t>House Vote 48-22</t>
        </is>
      </c>
      <c r="AH59" s="42">
        <f>IF(ISBLANK(AE59),"","&lt;/b&gt;")</f>
        <v/>
      </c>
      <c r="AI59" s="42" t="inlineStr">
        <is>
          <t>03/02: Senate Vote 18-17&lt;br&gt;02/06: FY26 holdback (-4%)</t>
        </is>
      </c>
      <c r="AJ59" s="42">
        <f>IF(ISBLANK(AI59),"","&lt;br&gt;"&amp;AI59)</f>
        <v/>
      </c>
      <c r="AK59" s="4" t="inlineStr">
        <is>
          <t>&lt;br&gt;</t>
        </is>
      </c>
      <c r="AL59" s="42" t="inlineStr">
        <is>
          <t>&lt;b&gt;&lt;i&gt;</t>
        </is>
      </c>
      <c r="AM59" s="42" t="inlineStr">
        <is>
          <t>Governor's 3% + JFAC's 1%</t>
        </is>
      </c>
      <c r="AN59" s="42">
        <f>IF(ISBLANK(AM59),"","&lt;/i&gt;")</f>
        <v/>
      </c>
      <c r="AO59" s="35">
        <f>IF(ISBLANK(AQ59),"","&lt;/b&gt;&lt;br&gt;&lt;br&gt;")</f>
        <v/>
      </c>
      <c r="AP59" s="42">
        <f>IF(ISBLANK(AQ59),"","&lt;b&gt;")</f>
        <v/>
      </c>
      <c r="AQ59" s="47" t="inlineStr">
        <is>
          <t xml:space="preserve">Agency Reduction Plan:&lt;br&gt;Additional </t>
        </is>
      </c>
      <c r="AR59" s="42" t="inlineStr">
        <is>
          <t>1</t>
        </is>
      </c>
      <c r="AS59" s="4">
        <f>IF(ISBLANK(AR59),""," %")</f>
        <v/>
      </c>
      <c r="AT59" s="4">
        <f t="array" ref="AT59">_xlfn.IFS(NOT(ISBLANK(AU59))," (pgs. ",NOT(ISBLANK(AS59))," (pg. ", ISBLANK(AS59), "")</f>
        <v/>
      </c>
      <c r="AU59" s="52" t="inlineStr">
        <is>
          <t>NA</t>
        </is>
      </c>
      <c r="AV59" s="4">
        <f>IF(ISBLANK(AW59),"",", ")</f>
        <v/>
      </c>
      <c r="AW59" s="42" t="n"/>
      <c r="AX59" s="4">
        <f>IF(ISBLANK(AY59),"",",&lt;br&gt;")</f>
        <v/>
      </c>
      <c r="AY59" s="42" t="n"/>
      <c r="AZ59" s="49">
        <f>IF(ISBLANK(AU59),"",")&lt;/b&gt;")</f>
        <v/>
      </c>
      <c r="BA59" s="4">
        <f>IF(ISBLANK(BC59),"","&lt;br&gt;")</f>
        <v/>
      </c>
      <c r="BB59" s="42">
        <f t="array" ref="BB59">IF(ISBLANK(BC59),"",_xlfn.LET(
_xlpm.words,_xlfn.TEXTSPLIT(TRIM(BC59),"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59" s="50" t="n"/>
    </row>
    <row r="60">
      <c r="A60" s="20">
        <f>_xlfn.TEXTJOIN("", TRUE, F60:H60)</f>
        <v/>
      </c>
      <c r="B60" s="21">
        <f>_xlfn.TEXTJOIN("", TRUE, I60:S60)</f>
        <v/>
      </c>
      <c r="C60" s="21">
        <f>IF(ISBLANK(X60),"", _xlfn.TEXTJOIN("",TRUE,T60:Z60))</f>
        <v/>
      </c>
      <c r="D60" s="21">
        <f>IF(ISBLANK(AB60), "", _xlfn.TEXTJOIN("", TRUE, AA60:AC60))</f>
        <v/>
      </c>
      <c r="E60" s="22">
        <f>IF(AU60="NA", _xlfn.TEXTJOIN("", TRUE, AD60:AH60), _xlfn.TEXTJOIN("", TRUE, AD60:AJ60))</f>
        <v/>
      </c>
      <c r="F60" s="42">
        <f>IF(LEFT(G60,4)="FY26","&lt;b&gt;","&lt;i&gt;")</f>
        <v/>
      </c>
      <c r="G60" s="42" t="inlineStr">
        <is>
          <t>FY26 Reduction</t>
        </is>
      </c>
      <c r="H60" s="42">
        <f>IF(LEFT(G60,4)="FY26","&lt;/b&gt;","&lt;/i&gt;")</f>
        <v/>
      </c>
      <c r="I60" s="43" t="inlineStr">
        <is>
          <t>&lt;i&gt;</t>
        </is>
      </c>
      <c r="J60" s="44" t="inlineStr">
        <is>
          <t>General Government</t>
        </is>
      </c>
      <c r="K60" s="44" t="inlineStr">
        <is>
          <t>&lt;/i&gt;</t>
        </is>
      </c>
      <c r="L60" s="4">
        <f>IF(ISBLANK(N60),"","&lt;br&gt;")</f>
        <v/>
      </c>
      <c r="M60" s="42">
        <f>IF(ISBLANK(R60),"&lt;b&gt;","&lt;i&gt;")</f>
        <v/>
      </c>
      <c r="N60" s="42" t="inlineStr">
        <is>
          <t>Dept. of Revenue &amp; Taxation</t>
        </is>
      </c>
      <c r="O60" s="42">
        <f>IF(ISBLANK(R60),"&lt;/b&gt;","&lt;/i&gt;")</f>
        <v/>
      </c>
      <c r="P60" s="4">
        <f>IF(ISBLANK(R60),"","&lt;br&gt;")</f>
        <v/>
      </c>
      <c r="Q60" s="42">
        <f>IF(ISBLANK(R60),"","&lt;b&gt;")</f>
        <v/>
      </c>
      <c r="R60" s="42" t="inlineStr">
        <is>
          <t>Board of Tax Appeals</t>
        </is>
      </c>
      <c r="S60" s="42">
        <f>IF(ISBLANK(R60),"","&lt;/i&gt;")</f>
        <v/>
      </c>
      <c r="T60" s="43">
        <f>IF(ISBLANK(X60),"",IF(OR(AB60="PASSED",ISBLANK(N60)),"&lt;b&gt;","&lt;i&gt;"))</f>
        <v/>
      </c>
      <c r="U60" s="3">
        <f>IF(ISBLANK(V60),"","&lt;a href='")</f>
        <v/>
      </c>
      <c r="V60" s="39" t="inlineStr">
        <is>
          <t>https://legislature.idaho.gov/sessioninfo/2026/legislation/S1331/</t>
        </is>
      </c>
      <c r="W60" s="17">
        <f>IF(ISBLANK(V60),"","'&gt;")</f>
        <v/>
      </c>
      <c r="X60" s="12" t="inlineStr">
        <is>
          <t>Senate Bill 1331</t>
        </is>
      </c>
      <c r="Y60" s="17">
        <f>IF(ISBLANK(X60),"","&lt;/a&gt;")</f>
        <v/>
      </c>
      <c r="Z60" s="42">
        <f>IF(ISBLANK(X60),"",IF(OR(AB60="PASSED",ISBLANK(N60)),"&lt;/b&gt;","&lt;/i&gt;"))</f>
        <v/>
      </c>
      <c r="AA60" s="43">
        <f>IF(AB60="PASSED","&lt;b&gt;","")</f>
        <v/>
      </c>
      <c r="AB60" s="45" t="inlineStr">
        <is>
          <t>PASSED</t>
        </is>
      </c>
      <c r="AC60" s="43">
        <f>IF(AB60="PASSED","&lt;/b&gt;","")</f>
        <v/>
      </c>
      <c r="AD60" s="43">
        <f>IF(ISBLANK(AE60),"","&lt;b&gt;")</f>
        <v/>
      </c>
      <c r="AE60" s="51" t="inlineStr">
        <is>
          <t>03/06</t>
        </is>
      </c>
      <c r="AF60" s="42">
        <f>IF(ISBLANK(AE60),"",": ")</f>
        <v/>
      </c>
      <c r="AG60" s="42" t="inlineStr">
        <is>
          <t>House Vote 48-22</t>
        </is>
      </c>
      <c r="AH60" s="42">
        <f>IF(ISBLANK(AE60),"","&lt;/b&gt;")</f>
        <v/>
      </c>
      <c r="AI60" s="42" t="inlineStr">
        <is>
          <t>03/02: Senate Vote 18-17&lt;br&gt;02/06: FY26 holdback (-4%)</t>
        </is>
      </c>
      <c r="AJ60" s="42">
        <f>IF(ISBLANK(AI60),"","&lt;br&gt;"&amp;AI60)</f>
        <v/>
      </c>
      <c r="AK60" s="4" t="inlineStr">
        <is>
          <t>&lt;br&gt;</t>
        </is>
      </c>
      <c r="AL60" s="42" t="inlineStr">
        <is>
          <t>&lt;b&gt;&lt;i&gt;</t>
        </is>
      </c>
      <c r="AM60" s="42" t="inlineStr">
        <is>
          <t>Governor's 3% + JFAC's 1%</t>
        </is>
      </c>
      <c r="AN60" s="42">
        <f>IF(ISBLANK(AM60),"","&lt;/i&gt;")</f>
        <v/>
      </c>
      <c r="AO60" s="35">
        <f>IF(ISBLANK(AQ60),"","&lt;/b&gt;&lt;br&gt;&lt;br&gt;")</f>
        <v/>
      </c>
      <c r="AP60" s="42">
        <f>IF(ISBLANK(AQ60),"","&lt;b&gt;")</f>
        <v/>
      </c>
      <c r="AQ60" s="47" t="inlineStr">
        <is>
          <t xml:space="preserve">Agency Reduction Plan:&lt;br&gt;Additional </t>
        </is>
      </c>
      <c r="AR60" s="42" t="inlineStr">
        <is>
          <t>1</t>
        </is>
      </c>
      <c r="AS60" s="4">
        <f>IF(ISBLANK(AR60),""," %")</f>
        <v/>
      </c>
      <c r="AT60" s="4">
        <f t="array" ref="AT60">_xlfn.IFS(NOT(ISBLANK(AU60))," (pgs. ",NOT(ISBLANK(AS60))," (pg. ", ISBLANK(AS60), "")</f>
        <v/>
      </c>
      <c r="AU60" s="52" t="n">
        <v>231</v>
      </c>
      <c r="AV60" s="4">
        <f>IF(ISBLANK(AW60),"",", ")</f>
        <v/>
      </c>
      <c r="AW60" s="42" t="n"/>
      <c r="AX60" s="4">
        <f>IF(ISBLANK(AY60),"",",&lt;br&gt;")</f>
        <v/>
      </c>
      <c r="AY60" s="42" t="n"/>
      <c r="AZ60" s="49">
        <f>IF(ISBLANK(AU60),"",")&lt;/b&gt;")</f>
        <v/>
      </c>
      <c r="BA60" s="4">
        <f>IF(ISBLANK(BC60),"","&lt;br&gt;")</f>
        <v/>
      </c>
      <c r="BB60" s="42">
        <f t="array" ref="BB60">IF(ISBLANK(BC60),"",_xlfn.LET(
_xlpm.words,_xlfn.TEXTSPLIT(TRIM(BC60),"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60" s="50" t="inlineStr">
        <is>
          <t>The reductions will be applied against operating expenses, with a focus on funds typically reserved for temporary staffing needs. Temporary staffing is utilized during peak periods of appeal activity to support increased workload demands. A reduced operating budget would undoubtedly limit the agency's ability to obtain temporary staffing and may prevent it altogether. The practical effect would be delays in processing tax appeals and moving them through the appeals process, from docketing the appeals when they arrive, to issuing the final decisions. Importantly, the reductions could cause the agency to fail its statutory obligation under I.C. § 63-3809(4) to issue all final decisions in ad valorem appeals by May 1 of each year, which would be disruptive to county assessors setting property values for the next tax year while they await the BTA's final decision.</t>
        </is>
      </c>
    </row>
    <row r="61">
      <c r="A61" s="20">
        <f>_xlfn.TEXTJOIN("", TRUE, F61:H61)</f>
        <v/>
      </c>
      <c r="B61" s="21">
        <f>_xlfn.TEXTJOIN("", TRUE, I61:S61)</f>
        <v/>
      </c>
      <c r="C61" s="21">
        <f>IF(ISBLANK(X61),"", _xlfn.TEXTJOIN("",TRUE,T61:Z61))</f>
        <v/>
      </c>
      <c r="D61" s="21">
        <f>IF(ISBLANK(AB61), "", _xlfn.TEXTJOIN("", TRUE, AA61:AC61))</f>
        <v/>
      </c>
      <c r="E61" s="22">
        <f>IF(AU61="NA", _xlfn.TEXTJOIN("", TRUE, AD61:AH61), _xlfn.TEXTJOIN("", TRUE, AD61:AJ61))</f>
        <v/>
      </c>
      <c r="F61" s="42">
        <f>IF(LEFT(G61,4)="FY26","&lt;b&gt;","&lt;i&gt;")</f>
        <v/>
      </c>
      <c r="G61" s="42" t="inlineStr">
        <is>
          <t>FY26 Reduction</t>
        </is>
      </c>
      <c r="H61" s="42">
        <f>IF(LEFT(G61,4)="FY26","&lt;/b&gt;","&lt;/i&gt;")</f>
        <v/>
      </c>
      <c r="I61" s="43" t="inlineStr">
        <is>
          <t>&lt;i&gt;</t>
        </is>
      </c>
      <c r="J61" s="44" t="inlineStr">
        <is>
          <t>General Government</t>
        </is>
      </c>
      <c r="K61" s="44" t="inlineStr">
        <is>
          <t>&lt;/i&gt;</t>
        </is>
      </c>
      <c r="L61" s="4">
        <f>IF(ISBLANK(N61),"","&lt;br&gt;")</f>
        <v/>
      </c>
      <c r="M61" s="42">
        <f>IF(ISBLANK(R61),"&lt;b&gt;","&lt;i&gt;")</f>
        <v/>
      </c>
      <c r="N61" s="42" t="inlineStr">
        <is>
          <t>Dept. of Revenue &amp; Taxation</t>
        </is>
      </c>
      <c r="O61" s="42">
        <f>IF(ISBLANK(R61),"&lt;/b&gt;","&lt;/i&gt;")</f>
        <v/>
      </c>
      <c r="P61" s="4">
        <f>IF(ISBLANK(R61),"","&lt;br&gt;")</f>
        <v/>
      </c>
      <c r="Q61" s="42">
        <f>IF(ISBLANK(R61),"","&lt;b&gt;")</f>
        <v/>
      </c>
      <c r="R61" s="42" t="inlineStr">
        <is>
          <t>State Tax Comm.</t>
        </is>
      </c>
      <c r="S61" s="42">
        <f>IF(ISBLANK(R61),"","&lt;/i&gt;")</f>
        <v/>
      </c>
      <c r="T61" s="43">
        <f>IF(ISBLANK(X61),"",IF(OR(AB61="PASSED",ISBLANK(N61)),"&lt;b&gt;","&lt;i&gt;"))</f>
        <v/>
      </c>
      <c r="U61" s="3">
        <f>IF(ISBLANK(V61),"","&lt;a href='")</f>
        <v/>
      </c>
      <c r="V61" s="39" t="inlineStr">
        <is>
          <t>https://legislature.idaho.gov/sessioninfo/2026/legislation/S1331/</t>
        </is>
      </c>
      <c r="W61" s="17">
        <f>IF(ISBLANK(V61),"","'&gt;")</f>
        <v/>
      </c>
      <c r="X61" s="12" t="inlineStr">
        <is>
          <t>Senate Bill 1331</t>
        </is>
      </c>
      <c r="Y61" s="17">
        <f>IF(ISBLANK(X61),"","&lt;/a&gt;")</f>
        <v/>
      </c>
      <c r="Z61" s="42">
        <f>IF(ISBLANK(X61),"",IF(OR(AB61="PASSED",ISBLANK(N61)),"&lt;/b&gt;","&lt;/i&gt;"))</f>
        <v/>
      </c>
      <c r="AA61" s="43">
        <f>IF(AB61="PASSED","&lt;b&gt;","")</f>
        <v/>
      </c>
      <c r="AB61" s="45" t="inlineStr">
        <is>
          <t>PASSED</t>
        </is>
      </c>
      <c r="AC61" s="43">
        <f>IF(AB61="PASSED","&lt;/b&gt;","")</f>
        <v/>
      </c>
      <c r="AD61" s="43">
        <f>IF(ISBLANK(AE61),"","&lt;b&gt;")</f>
        <v/>
      </c>
      <c r="AE61" s="51" t="inlineStr">
        <is>
          <t>03/06</t>
        </is>
      </c>
      <c r="AF61" s="42">
        <f>IF(ISBLANK(AE61),"",": ")</f>
        <v/>
      </c>
      <c r="AG61" s="42" t="inlineStr">
        <is>
          <t>House Vote 48-22</t>
        </is>
      </c>
      <c r="AH61" s="42">
        <f>IF(ISBLANK(AE61),"","&lt;/b&gt;")</f>
        <v/>
      </c>
      <c r="AI61" s="42" t="inlineStr">
        <is>
          <t>03/02: Senate Vote 18-17&lt;br&gt;02/06: FY26 holdback (-4%)</t>
        </is>
      </c>
      <c r="AJ61" s="42">
        <f>IF(ISBLANK(AI61),"","&lt;br&gt;"&amp;AI61)</f>
        <v/>
      </c>
      <c r="AK61" s="4" t="inlineStr">
        <is>
          <t>&lt;br&gt;</t>
        </is>
      </c>
      <c r="AL61" s="42" t="inlineStr">
        <is>
          <t>&lt;b&gt;&lt;i&gt;</t>
        </is>
      </c>
      <c r="AM61" s="42" t="inlineStr">
        <is>
          <t>Governor's 3% + JFAC's 1%</t>
        </is>
      </c>
      <c r="AN61" s="42">
        <f>IF(ISBLANK(AM61),"","&lt;/i&gt;")</f>
        <v/>
      </c>
      <c r="AO61" s="35">
        <f>IF(ISBLANK(AQ61),"","&lt;/b&gt;&lt;br&gt;&lt;br&gt;")</f>
        <v/>
      </c>
      <c r="AP61" s="42">
        <f>IF(ISBLANK(AQ61),"","&lt;b&gt;")</f>
        <v/>
      </c>
      <c r="AQ61" s="47" t="inlineStr">
        <is>
          <t xml:space="preserve">Agency Reduction Plan:&lt;br&gt;Additional </t>
        </is>
      </c>
      <c r="AR61" s="42" t="inlineStr">
        <is>
          <t>1</t>
        </is>
      </c>
      <c r="AS61" s="4">
        <f>IF(ISBLANK(AR61),""," %")</f>
        <v/>
      </c>
      <c r="AT61" s="4">
        <f t="array" ref="AT61">_xlfn.IFS(NOT(ISBLANK(AU61))," (pgs. ",NOT(ISBLANK(AS61))," (pg. ", ISBLANK(AS61), "")</f>
        <v/>
      </c>
      <c r="AU61" s="52" t="n">
        <v>233</v>
      </c>
      <c r="AV61" s="4">
        <f>IF(ISBLANK(AW61),"",", ")</f>
        <v/>
      </c>
      <c r="AW61" s="42" t="n"/>
      <c r="AX61" s="4">
        <f>IF(ISBLANK(AY61),"",",&lt;br&gt;")</f>
        <v/>
      </c>
      <c r="AY61" s="42" t="n"/>
      <c r="AZ61" s="49">
        <f>IF(ISBLANK(AU61),"",")&lt;/b&gt;")</f>
        <v/>
      </c>
      <c r="BA61" s="4">
        <f>IF(ISBLANK(BC61),"","&lt;br&gt;")</f>
        <v/>
      </c>
      <c r="BB61" s="42">
        <f t="array" ref="BB61">IF(ISBLANK(BC61),"",_xlfn.LET(
_xlpm.words,_xlfn.TEXTSPLIT(TRIM(BC61),"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61" s="50" t="inlineStr">
        <is>
          <t>We focused on one-time cuts to ensure as much continuity in operations as possible during our busiest time of year: tax season. What I can tell you is that a reduction in our tax season temporary workforce will reduce processing times and increase the likelihood we’ll have to pay interest on delayed refunds. The majority of FY2026 funds are committed. As you are aware, just over 82% of our budget comes from the General Fund and the remainder comes from statutorily authorized tax collection activities. Excluding personnel costs, approximately 90% of those dollars are spent or encumbered at the beginning of each fiscal year on fixed costs.</t>
        </is>
      </c>
    </row>
    <row r="62">
      <c r="A62" s="20">
        <f>_xlfn.TEXTJOIN("", TRUE, F62:H62)</f>
        <v/>
      </c>
      <c r="B62" s="21">
        <f>_xlfn.TEXTJOIN("", TRUE, I62:S62)</f>
        <v/>
      </c>
      <c r="C62" s="21">
        <f>IF(ISBLANK(X62),"", _xlfn.TEXTJOIN("",TRUE,T62:Z62))</f>
        <v/>
      </c>
      <c r="D62" s="21">
        <f>IF(ISBLANK(AB62), "", _xlfn.TEXTJOIN("", TRUE, AA62:AC62))</f>
        <v/>
      </c>
      <c r="E62" s="22">
        <f>IF(AU62="NA", _xlfn.TEXTJOIN("", TRUE, AD62:AH62), _xlfn.TEXTJOIN("", TRUE, AD62:AJ62))</f>
        <v/>
      </c>
      <c r="F62" s="42">
        <f>IF(LEFT(G62,4)="FY26","&lt;b&gt;","&lt;i&gt;")</f>
        <v/>
      </c>
      <c r="G62" s="42" t="inlineStr">
        <is>
          <t>FY26 Reduction</t>
        </is>
      </c>
      <c r="H62" s="42">
        <f>IF(LEFT(G62,4)="FY26","&lt;/b&gt;","&lt;/i&gt;")</f>
        <v/>
      </c>
      <c r="I62" s="43" t="inlineStr">
        <is>
          <t>&lt;i&gt;</t>
        </is>
      </c>
      <c r="J62" s="44" t="inlineStr">
        <is>
          <t>General Government</t>
        </is>
      </c>
      <c r="K62" s="44" t="inlineStr">
        <is>
          <t>&lt;/i&gt;</t>
        </is>
      </c>
      <c r="L62" s="4">
        <f>IF(ISBLANK(N62),"","&lt;br&gt;")</f>
        <v/>
      </c>
      <c r="M62" s="42">
        <f>IF(ISBLANK(R62),"&lt;b&gt;","&lt;i&gt;")</f>
        <v/>
      </c>
      <c r="N62" s="42" t="inlineStr">
        <is>
          <t>Office of the Governor</t>
        </is>
      </c>
      <c r="O62" s="42">
        <f>IF(ISBLANK(R62),"&lt;/b&gt;","&lt;/i&gt;")</f>
        <v/>
      </c>
      <c r="P62" s="4">
        <f>IF(ISBLANK(R62),"","&lt;br&gt;")</f>
        <v/>
      </c>
      <c r="Q62" s="42">
        <f>IF(ISBLANK(R62),"","&lt;b&gt;")</f>
        <v/>
      </c>
      <c r="R62" s="42" t="inlineStr">
        <is>
          <t>Comm. for the Blind &amp; Visually Impaired</t>
        </is>
      </c>
      <c r="S62" s="42">
        <f>IF(ISBLANK(R62),"","&lt;/i&gt;")</f>
        <v/>
      </c>
      <c r="T62" s="43">
        <f>IF(ISBLANK(X62),"",IF(OR(AB62="PASSED",ISBLANK(N62)),"&lt;b&gt;","&lt;i&gt;"))</f>
        <v/>
      </c>
      <c r="U62" s="3">
        <f>IF(ISBLANK(V62),"","&lt;a href='")</f>
        <v/>
      </c>
      <c r="V62" s="39" t="inlineStr">
        <is>
          <t>https://legislature.idaho.gov/sessioninfo/2026/legislation/S1331/</t>
        </is>
      </c>
      <c r="W62" s="17">
        <f>IF(ISBLANK(V62),"","'&gt;")</f>
        <v/>
      </c>
      <c r="X62" s="12" t="inlineStr">
        <is>
          <t>Senate Bill 1331</t>
        </is>
      </c>
      <c r="Y62" s="17">
        <f>IF(ISBLANK(X62),"","&lt;/a&gt;")</f>
        <v/>
      </c>
      <c r="Z62" s="42">
        <f>IF(ISBLANK(X62),"",IF(OR(AB62="PASSED",ISBLANK(N62)),"&lt;/b&gt;","&lt;/i&gt;"))</f>
        <v/>
      </c>
      <c r="AA62" s="43">
        <f>IF(AB62="PASSED","&lt;b&gt;","")</f>
        <v/>
      </c>
      <c r="AB62" s="45" t="inlineStr">
        <is>
          <t>PASSED</t>
        </is>
      </c>
      <c r="AC62" s="43">
        <f>IF(AB62="PASSED","&lt;/b&gt;","")</f>
        <v/>
      </c>
      <c r="AD62" s="43">
        <f>IF(ISBLANK(AE62),"","&lt;b&gt;")</f>
        <v/>
      </c>
      <c r="AE62" s="51" t="inlineStr">
        <is>
          <t>03/06</t>
        </is>
      </c>
      <c r="AF62" s="42">
        <f>IF(ISBLANK(AE62),"",": ")</f>
        <v/>
      </c>
      <c r="AG62" s="42" t="inlineStr">
        <is>
          <t>House Vote 48-22</t>
        </is>
      </c>
      <c r="AH62" s="42">
        <f>IF(ISBLANK(AE62),"","&lt;/b&gt;")</f>
        <v/>
      </c>
      <c r="AI62" s="42" t="inlineStr">
        <is>
          <t>03/02: Senate Vote 18-17&lt;br&gt;02/06: FY26 holdback (-4%)</t>
        </is>
      </c>
      <c r="AJ62" s="42">
        <f>IF(ISBLANK(AI62),"","&lt;br&gt;"&amp;AI62)</f>
        <v/>
      </c>
      <c r="AK62" s="4" t="inlineStr">
        <is>
          <t>&lt;br&gt;</t>
        </is>
      </c>
      <c r="AL62" s="42" t="inlineStr">
        <is>
          <t>&lt;b&gt;&lt;i&gt;</t>
        </is>
      </c>
      <c r="AM62" s="42" t="inlineStr">
        <is>
          <t>Governor's 3% + JFAC's 1%</t>
        </is>
      </c>
      <c r="AN62" s="42">
        <f>IF(ISBLANK(AM62),"","&lt;/i&gt;")</f>
        <v/>
      </c>
      <c r="AO62" s="35">
        <f>IF(ISBLANK(AQ62),"","&lt;/b&gt;&lt;br&gt;&lt;br&gt;")</f>
        <v/>
      </c>
      <c r="AP62" s="42">
        <f>IF(ISBLANK(AQ62),"","&lt;b&gt;")</f>
        <v/>
      </c>
      <c r="AQ62" s="47" t="inlineStr">
        <is>
          <t xml:space="preserve">Agency Reduction Plan:&lt;br&gt;Additional </t>
        </is>
      </c>
      <c r="AR62" s="42" t="inlineStr">
        <is>
          <t>1</t>
        </is>
      </c>
      <c r="AS62" s="4">
        <f>IF(ISBLANK(AR62),""," %")</f>
        <v/>
      </c>
      <c r="AT62" s="4">
        <f t="array" ref="AT62">_xlfn.IFS(NOT(ISBLANK(AU62))," (pgs. ",NOT(ISBLANK(AS62))," (pg. ", ISBLANK(AS62), "")</f>
        <v/>
      </c>
      <c r="AU62" s="52" t="n">
        <v>202</v>
      </c>
      <c r="AV62" s="4">
        <f>IF(ISBLANK(AW62),"",", ")</f>
        <v/>
      </c>
      <c r="AW62" s="42" t="n"/>
      <c r="AX62" s="4">
        <f>IF(ISBLANK(AY62),"",",&lt;br&gt;")</f>
        <v/>
      </c>
      <c r="AY62" s="42" t="n"/>
      <c r="AZ62" s="49">
        <f>IF(ISBLANK(AU62),"",")&lt;/b&gt;")</f>
        <v/>
      </c>
      <c r="BA62" s="4">
        <f>IF(ISBLANK(BC62),"","&lt;br&gt;")</f>
        <v/>
      </c>
      <c r="BB62" s="42">
        <f t="array" ref="BB62">IF(ISBLANK(BC62),"",_xlfn.LET(
_xlpm.words,_xlfn.TEXTSPLIT(TRIM(BC62),"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62" s="50" t="inlineStr">
        <is>
          <t>No RIFs or furloughs are anticipated under either scenario. We will hold vacant positions, attempt to reduce temp/contracted services, and prioritize discretionary training. FY26: Core client services will remain intact for FY26. Potential impacts include delays to the budgeted OITS equipment refresh.</t>
        </is>
      </c>
    </row>
    <row r="63">
      <c r="A63" s="20">
        <f>_xlfn.TEXTJOIN("", TRUE, F63:H63)</f>
        <v/>
      </c>
      <c r="B63" s="21">
        <f>_xlfn.TEXTJOIN("", TRUE, I63:S63)</f>
        <v/>
      </c>
      <c r="C63" s="21">
        <f>IF(ISBLANK(X63),"", _xlfn.TEXTJOIN("",TRUE,T63:Z63))</f>
        <v/>
      </c>
      <c r="D63" s="21">
        <f>IF(ISBLANK(AB63), "", _xlfn.TEXTJOIN("", TRUE, AA63:AC63))</f>
        <v/>
      </c>
      <c r="E63" s="22">
        <f>IF(AU63="NA", _xlfn.TEXTJOIN("", TRUE, AD63:AH63), _xlfn.TEXTJOIN("", TRUE, AD63:AJ63))</f>
        <v/>
      </c>
      <c r="F63" s="42">
        <f>IF(LEFT(G63,4)="FY26","&lt;b&gt;","&lt;i&gt;")</f>
        <v/>
      </c>
      <c r="G63" s="42" t="inlineStr">
        <is>
          <t>FY26 Reduction</t>
        </is>
      </c>
      <c r="H63" s="42">
        <f>IF(LEFT(G63,4)="FY26","&lt;/b&gt;","&lt;/i&gt;")</f>
        <v/>
      </c>
      <c r="I63" s="43" t="inlineStr">
        <is>
          <t>&lt;i&gt;</t>
        </is>
      </c>
      <c r="J63" s="44" t="inlineStr">
        <is>
          <t>General Government</t>
        </is>
      </c>
      <c r="K63" s="44" t="inlineStr">
        <is>
          <t>&lt;/i&gt;</t>
        </is>
      </c>
      <c r="L63" s="4">
        <f>IF(ISBLANK(N63),"","&lt;br&gt;")</f>
        <v/>
      </c>
      <c r="M63" s="42">
        <f>IF(ISBLANK(R63),"&lt;b&gt;","&lt;i&gt;")</f>
        <v/>
      </c>
      <c r="N63" s="42" t="inlineStr">
        <is>
          <t>Office of the Governor</t>
        </is>
      </c>
      <c r="O63" s="42">
        <f>IF(ISBLANK(R63),"&lt;/b&gt;","&lt;/i&gt;")</f>
        <v/>
      </c>
      <c r="P63" s="4">
        <f>IF(ISBLANK(R63),"","&lt;br&gt;")</f>
        <v/>
      </c>
      <c r="Q63" s="42">
        <f>IF(ISBLANK(R63),"","&lt;b&gt;")</f>
        <v/>
      </c>
      <c r="R63" s="42" t="inlineStr">
        <is>
          <t>Comm. on Aging</t>
        </is>
      </c>
      <c r="S63" s="42">
        <f>IF(ISBLANK(R63),"","&lt;/i&gt;")</f>
        <v/>
      </c>
      <c r="T63" s="43">
        <f>IF(ISBLANK(X63),"",IF(OR(AB63="PASSED",ISBLANK(N63)),"&lt;b&gt;","&lt;i&gt;"))</f>
        <v/>
      </c>
      <c r="U63" s="3">
        <f>IF(ISBLANK(V63),"","&lt;a href='")</f>
        <v/>
      </c>
      <c r="V63" s="39" t="inlineStr">
        <is>
          <t>https://legislature.idaho.gov/sessioninfo/2026/legislation/S1331/</t>
        </is>
      </c>
      <c r="W63" s="17">
        <f>IF(ISBLANK(V63),"","'&gt;")</f>
        <v/>
      </c>
      <c r="X63" s="12" t="inlineStr">
        <is>
          <t>Senate Bill 1331</t>
        </is>
      </c>
      <c r="Y63" s="17">
        <f>IF(ISBLANK(X63),"","&lt;/a&gt;")</f>
        <v/>
      </c>
      <c r="Z63" s="42">
        <f>IF(ISBLANK(X63),"",IF(OR(AB63="PASSED",ISBLANK(N63)),"&lt;/b&gt;","&lt;/i&gt;"))</f>
        <v/>
      </c>
      <c r="AA63" s="43">
        <f>IF(AB63="PASSED","&lt;b&gt;","")</f>
        <v/>
      </c>
      <c r="AB63" s="45" t="inlineStr">
        <is>
          <t>PASSED</t>
        </is>
      </c>
      <c r="AC63" s="43">
        <f>IF(AB63="PASSED","&lt;/b&gt;","")</f>
        <v/>
      </c>
      <c r="AD63" s="43">
        <f>IF(ISBLANK(AE63),"","&lt;b&gt;")</f>
        <v/>
      </c>
      <c r="AE63" s="51" t="inlineStr">
        <is>
          <t>03/06</t>
        </is>
      </c>
      <c r="AF63" s="42">
        <f>IF(ISBLANK(AE63),"",": ")</f>
        <v/>
      </c>
      <c r="AG63" s="42" t="inlineStr">
        <is>
          <t>House Vote 48-22</t>
        </is>
      </c>
      <c r="AH63" s="42">
        <f>IF(ISBLANK(AE63),"","&lt;/b&gt;")</f>
        <v/>
      </c>
      <c r="AI63" s="42" t="inlineStr">
        <is>
          <t>03/02: Senate Vote 18-17&lt;br&gt;02/06: FY26 holdback (-4%)</t>
        </is>
      </c>
      <c r="AJ63" s="42">
        <f>IF(ISBLANK(AI63),"","&lt;br&gt;"&amp;AI63)</f>
        <v/>
      </c>
      <c r="AK63" s="4" t="inlineStr">
        <is>
          <t>&lt;br&gt;</t>
        </is>
      </c>
      <c r="AL63" s="42" t="inlineStr">
        <is>
          <t>&lt;b&gt;&lt;i&gt;</t>
        </is>
      </c>
      <c r="AM63" s="42" t="inlineStr">
        <is>
          <t>Governor's 3% + JFAC's 1%</t>
        </is>
      </c>
      <c r="AN63" s="42">
        <f>IF(ISBLANK(AM63),"","&lt;/i&gt;")</f>
        <v/>
      </c>
      <c r="AO63" s="35">
        <f>IF(ISBLANK(AQ63),"","&lt;/b&gt;&lt;br&gt;&lt;br&gt;")</f>
        <v/>
      </c>
      <c r="AP63" s="42">
        <f>IF(ISBLANK(AQ63),"","&lt;b&gt;")</f>
        <v/>
      </c>
      <c r="AQ63" s="47" t="inlineStr">
        <is>
          <t xml:space="preserve">Agency Reduction Plan:&lt;br&gt;Additional </t>
        </is>
      </c>
      <c r="AR63" s="42" t="inlineStr">
        <is>
          <t>1</t>
        </is>
      </c>
      <c r="AS63" s="4">
        <f>IF(ISBLANK(AR63),""," %")</f>
        <v/>
      </c>
      <c r="AT63" s="4">
        <f t="array" ref="AT63">_xlfn.IFS(NOT(ISBLANK(AU63))," (pgs. ",NOT(ISBLANK(AS63))," (pg. ", ISBLANK(AS63), "")</f>
        <v/>
      </c>
      <c r="AU63" s="52" t="n">
        <v>196</v>
      </c>
      <c r="AV63" s="4">
        <f>IF(ISBLANK(AW63),"",", ")</f>
        <v/>
      </c>
      <c r="AW63" s="42" t="n"/>
      <c r="AX63" s="4">
        <f>IF(ISBLANK(AY63),"",",&lt;br&gt;")</f>
        <v/>
      </c>
      <c r="AY63" s="42" t="n"/>
      <c r="AZ63" s="49">
        <f>IF(ISBLANK(AU63),"",")&lt;/b&gt;")</f>
        <v/>
      </c>
      <c r="BA63" s="4">
        <f>IF(ISBLANK(BC63),"","&lt;br&gt;")</f>
        <v/>
      </c>
      <c r="BB63" s="42">
        <f t="array" ref="BB63">IF(ISBLANK(BC63),"",_xlfn.LET(
_xlpm.words,_xlfn.TEXTSPLIT(TRIM(BC63),"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63" s="50" t="inlineStr">
        <is>
          <t>One-time reversion of Executive Carry Forward funding on contractual payments to Area Agencies on Aging.</t>
        </is>
      </c>
    </row>
    <row r="64">
      <c r="A64" s="20">
        <f>_xlfn.TEXTJOIN("", TRUE, F64:H64)</f>
        <v/>
      </c>
      <c r="B64" s="21">
        <f>_xlfn.TEXTJOIN("", TRUE, I64:S64)</f>
        <v/>
      </c>
      <c r="C64" s="21">
        <f>IF(ISBLANK(X64),"", _xlfn.TEXTJOIN("",TRUE,T64:Z64))</f>
        <v/>
      </c>
      <c r="D64" s="21">
        <f>IF(ISBLANK(AB64), "", _xlfn.TEXTJOIN("", TRUE, AA64:AC64))</f>
        <v/>
      </c>
      <c r="E64" s="22">
        <f>IF(AU64="NA", _xlfn.TEXTJOIN("", TRUE, AD64:AH64), _xlfn.TEXTJOIN("", TRUE, AD64:AJ64))</f>
        <v/>
      </c>
      <c r="F64" s="42">
        <f>IF(LEFT(G64,4)="FY26","&lt;b&gt;","&lt;i&gt;")</f>
        <v/>
      </c>
      <c r="G64" s="42" t="inlineStr">
        <is>
          <t>FY26 Reduction</t>
        </is>
      </c>
      <c r="H64" s="42">
        <f>IF(LEFT(G64,4)="FY26","&lt;/b&gt;","&lt;/i&gt;")</f>
        <v/>
      </c>
      <c r="I64" s="43" t="inlineStr">
        <is>
          <t>&lt;i&gt;</t>
        </is>
      </c>
      <c r="J64" s="44" t="inlineStr">
        <is>
          <t>General Government</t>
        </is>
      </c>
      <c r="K64" s="44" t="inlineStr">
        <is>
          <t>&lt;/i&gt;</t>
        </is>
      </c>
      <c r="L64" s="4">
        <f>IF(ISBLANK(N64),"","&lt;br&gt;")</f>
        <v/>
      </c>
      <c r="M64" s="42">
        <f>IF(ISBLANK(R64),"&lt;b&gt;","&lt;i&gt;")</f>
        <v/>
      </c>
      <c r="N64" s="42" t="inlineStr">
        <is>
          <t>Office of the Governor</t>
        </is>
      </c>
      <c r="O64" s="42">
        <f>IF(ISBLANK(R64),"&lt;/b&gt;","&lt;/i&gt;")</f>
        <v/>
      </c>
      <c r="P64" s="4">
        <f>IF(ISBLANK(R64),"","&lt;br&gt;")</f>
        <v/>
      </c>
      <c r="Q64" s="42">
        <f>IF(ISBLANK(R64),"","&lt;b&gt;")</f>
        <v/>
      </c>
      <c r="R64" s="42" t="inlineStr">
        <is>
          <t>Comm. on the Arts</t>
        </is>
      </c>
      <c r="S64" s="42">
        <f>IF(ISBLANK(R64),"","&lt;/i&gt;")</f>
        <v/>
      </c>
      <c r="T64" s="43">
        <f>IF(ISBLANK(X64),"",IF(OR(AB64="PASSED",ISBLANK(N64)),"&lt;b&gt;","&lt;i&gt;"))</f>
        <v/>
      </c>
      <c r="U64" s="3">
        <f>IF(ISBLANK(V64),"","&lt;a href='")</f>
        <v/>
      </c>
      <c r="V64" s="39" t="inlineStr">
        <is>
          <t>https://legislature.idaho.gov/sessioninfo/2026/legislation/S1331/</t>
        </is>
      </c>
      <c r="W64" s="17">
        <f>IF(ISBLANK(V64),"","'&gt;")</f>
        <v/>
      </c>
      <c r="X64" s="12" t="inlineStr">
        <is>
          <t>Senate Bill 1331</t>
        </is>
      </c>
      <c r="Y64" s="17">
        <f>IF(ISBLANK(X64),"","&lt;/a&gt;")</f>
        <v/>
      </c>
      <c r="Z64" s="42">
        <f>IF(ISBLANK(X64),"",IF(OR(AB64="PASSED",ISBLANK(N64)),"&lt;/b&gt;","&lt;/i&gt;"))</f>
        <v/>
      </c>
      <c r="AA64" s="43">
        <f>IF(AB64="PASSED","&lt;b&gt;","")</f>
        <v/>
      </c>
      <c r="AB64" s="45" t="inlineStr">
        <is>
          <t>PASSED</t>
        </is>
      </c>
      <c r="AC64" s="43">
        <f>IF(AB64="PASSED","&lt;/b&gt;","")</f>
        <v/>
      </c>
      <c r="AD64" s="43">
        <f>IF(ISBLANK(AE64),"","&lt;b&gt;")</f>
        <v/>
      </c>
      <c r="AE64" s="51" t="inlineStr">
        <is>
          <t>03/06</t>
        </is>
      </c>
      <c r="AF64" s="42">
        <f>IF(ISBLANK(AE64),"",": ")</f>
        <v/>
      </c>
      <c r="AG64" s="42" t="inlineStr">
        <is>
          <t>House Vote 48-22</t>
        </is>
      </c>
      <c r="AH64" s="42">
        <f>IF(ISBLANK(AE64),"","&lt;/b&gt;")</f>
        <v/>
      </c>
      <c r="AI64" s="42" t="inlineStr">
        <is>
          <t>03/02: Senate Vote 18-17&lt;br&gt;02/06: FY26 holdback (-4%)</t>
        </is>
      </c>
      <c r="AJ64" s="42">
        <f>IF(ISBLANK(AI64),"","&lt;br&gt;"&amp;AI64)</f>
        <v/>
      </c>
      <c r="AK64" s="4" t="inlineStr">
        <is>
          <t>&lt;br&gt;</t>
        </is>
      </c>
      <c r="AL64" s="42" t="inlineStr">
        <is>
          <t>&lt;b&gt;&lt;i&gt;</t>
        </is>
      </c>
      <c r="AM64" s="42" t="inlineStr">
        <is>
          <t>Governor's 3% + JFAC's 1%</t>
        </is>
      </c>
      <c r="AN64" s="42">
        <f>IF(ISBLANK(AM64),"","&lt;/i&gt;")</f>
        <v/>
      </c>
      <c r="AO64" s="35">
        <f>IF(ISBLANK(AQ64),"","&lt;/b&gt;&lt;br&gt;&lt;br&gt;")</f>
        <v/>
      </c>
      <c r="AP64" s="42">
        <f>IF(ISBLANK(AQ64),"","&lt;b&gt;")</f>
        <v/>
      </c>
      <c r="AQ64" s="47" t="inlineStr">
        <is>
          <t xml:space="preserve">Agency Reduction Plan:&lt;br&gt;Additional </t>
        </is>
      </c>
      <c r="AR64" s="42" t="inlineStr">
        <is>
          <t>1</t>
        </is>
      </c>
      <c r="AS64" s="4">
        <f>IF(ISBLANK(AR64),""," %")</f>
        <v/>
      </c>
      <c r="AT64" s="4">
        <f t="array" ref="AT64">_xlfn.IFS(NOT(ISBLANK(AU64))," (pgs. ",NOT(ISBLANK(AS64))," (pg. ", ISBLANK(AS64), "")</f>
        <v/>
      </c>
      <c r="AU64" s="52" t="n">
        <v>198</v>
      </c>
      <c r="AV64" s="4">
        <f>IF(ISBLANK(AW64),"",", ")</f>
        <v/>
      </c>
      <c r="AW64" s="42" t="n"/>
      <c r="AX64" s="4">
        <f>IF(ISBLANK(AY64),"",",&lt;br&gt;")</f>
        <v/>
      </c>
      <c r="AY64" s="42" t="n"/>
      <c r="AZ64" s="49">
        <f>IF(ISBLANK(AU64),"",")&lt;/b&gt;")</f>
        <v/>
      </c>
      <c r="BA64" s="4">
        <f>IF(ISBLANK(BC64),"","&lt;br&gt;")</f>
        <v/>
      </c>
      <c r="BB64" s="42">
        <f t="array" ref="BB64">IF(ISBLANK(BC64),"",_xlfn.LET(
_xlpm.words,_xlfn.TEXTSPLIT(TRIM(BC64),"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64" s="50" t="inlineStr">
        <is>
          <t>For both FY 2026 and FY 2027, our agency would meet any required reversions through reductions in personnel costs. In FY 2026, these reductions would be absorbed through salary savings associated with positions that were unfilled at the start of the fiscal year.</t>
        </is>
      </c>
    </row>
    <row r="65">
      <c r="A65" s="20">
        <f>_xlfn.TEXTJOIN("", TRUE, F65:H65)</f>
        <v/>
      </c>
      <c r="B65" s="21">
        <f>_xlfn.TEXTJOIN("", TRUE, I65:S65)</f>
        <v/>
      </c>
      <c r="C65" s="21">
        <f>IF(ISBLANK(X65),"", _xlfn.TEXTJOIN("",TRUE,T65:Z65))</f>
        <v/>
      </c>
      <c r="D65" s="21">
        <f>IF(ISBLANK(AB65), "", _xlfn.TEXTJOIN("", TRUE, AA65:AC65))</f>
        <v/>
      </c>
      <c r="E65" s="22">
        <f>IF(AU65="NA", _xlfn.TEXTJOIN("", TRUE, AD65:AH65), _xlfn.TEXTJOIN("", TRUE, AD65:AJ65))</f>
        <v/>
      </c>
      <c r="F65" s="42">
        <f>IF(LEFT(G65,4)="FY26","&lt;b&gt;","&lt;i&gt;")</f>
        <v/>
      </c>
      <c r="G65" s="42" t="inlineStr">
        <is>
          <t>FY26 Reduction</t>
        </is>
      </c>
      <c r="H65" s="42">
        <f>IF(LEFT(G65,4)="FY26","&lt;/b&gt;","&lt;/i&gt;")</f>
        <v/>
      </c>
      <c r="I65" s="43" t="inlineStr">
        <is>
          <t>&lt;i&gt;</t>
        </is>
      </c>
      <c r="J65" s="44" t="inlineStr">
        <is>
          <t>General Government</t>
        </is>
      </c>
      <c r="K65" s="44" t="inlineStr">
        <is>
          <t>&lt;/i&gt;</t>
        </is>
      </c>
      <c r="L65" s="4">
        <f>IF(ISBLANK(N65),"","&lt;br&gt;")</f>
        <v/>
      </c>
      <c r="M65" s="42">
        <f>IF(ISBLANK(R65),"&lt;b&gt;","&lt;i&gt;")</f>
        <v/>
      </c>
      <c r="N65" s="42" t="inlineStr">
        <is>
          <t>Office of the Governor</t>
        </is>
      </c>
      <c r="O65" s="42">
        <f>IF(ISBLANK(R65),"&lt;/b&gt;","&lt;/i&gt;")</f>
        <v/>
      </c>
      <c r="P65" s="4">
        <f>IF(ISBLANK(R65),"","&lt;br&gt;")</f>
        <v/>
      </c>
      <c r="Q65" s="42">
        <f>IF(ISBLANK(R65),"","&lt;b&gt;")</f>
        <v/>
      </c>
      <c r="R65" s="42" t="inlineStr">
        <is>
          <t>Div. of Financial Management</t>
        </is>
      </c>
      <c r="S65" s="42">
        <f>IF(ISBLANK(R65),"","&lt;/i&gt;")</f>
        <v/>
      </c>
      <c r="T65" s="43">
        <f>IF(ISBLANK(X65),"",IF(OR(AB65="PASSED",ISBLANK(N65)),"&lt;b&gt;","&lt;i&gt;"))</f>
        <v/>
      </c>
      <c r="U65" s="3">
        <f>IF(ISBLANK(V65),"","&lt;a href='")</f>
        <v/>
      </c>
      <c r="V65" s="39" t="inlineStr">
        <is>
          <t>https://legislature.idaho.gov/sessioninfo/2026/legislation/S1331/</t>
        </is>
      </c>
      <c r="W65" s="17">
        <f>IF(ISBLANK(V65),"","'&gt;")</f>
        <v/>
      </c>
      <c r="X65" s="12" t="inlineStr">
        <is>
          <t>Senate Bill 1331</t>
        </is>
      </c>
      <c r="Y65" s="17">
        <f>IF(ISBLANK(X65),"","&lt;/a&gt;")</f>
        <v/>
      </c>
      <c r="Z65" s="42">
        <f>IF(ISBLANK(X65),"",IF(OR(AB65="PASSED",ISBLANK(N65)),"&lt;/b&gt;","&lt;/i&gt;"))</f>
        <v/>
      </c>
      <c r="AA65" s="43">
        <f>IF(AB65="PASSED","&lt;b&gt;","")</f>
        <v/>
      </c>
      <c r="AB65" s="45" t="inlineStr">
        <is>
          <t>PASSED</t>
        </is>
      </c>
      <c r="AC65" s="43">
        <f>IF(AB65="PASSED","&lt;/b&gt;","")</f>
        <v/>
      </c>
      <c r="AD65" s="43">
        <f>IF(ISBLANK(AE65),"","&lt;b&gt;")</f>
        <v/>
      </c>
      <c r="AE65" s="51" t="inlineStr">
        <is>
          <t>03/06</t>
        </is>
      </c>
      <c r="AF65" s="42">
        <f>IF(ISBLANK(AE65),"",": ")</f>
        <v/>
      </c>
      <c r="AG65" s="42" t="inlineStr">
        <is>
          <t>House Vote 48-22</t>
        </is>
      </c>
      <c r="AH65" s="42">
        <f>IF(ISBLANK(AE65),"","&lt;/b&gt;")</f>
        <v/>
      </c>
      <c r="AI65" s="42" t="inlineStr">
        <is>
          <t>03/02: Senate Vote 18-17&lt;br&gt;02/06: FY26 holdback (-4%)</t>
        </is>
      </c>
      <c r="AJ65" s="42">
        <f>IF(ISBLANK(AI65),"","&lt;br&gt;"&amp;AI65)</f>
        <v/>
      </c>
      <c r="AK65" s="4" t="inlineStr">
        <is>
          <t>&lt;br&gt;</t>
        </is>
      </c>
      <c r="AL65" s="42" t="inlineStr">
        <is>
          <t>&lt;b&gt;&lt;i&gt;</t>
        </is>
      </c>
      <c r="AM65" s="42" t="inlineStr">
        <is>
          <t>Governor's 3% + JFAC's 1%</t>
        </is>
      </c>
      <c r="AN65" s="42">
        <f>IF(ISBLANK(AM65),"","&lt;/i&gt;")</f>
        <v/>
      </c>
      <c r="AO65" s="35">
        <f>IF(ISBLANK(AQ65),"","&lt;/b&gt;&lt;br&gt;&lt;br&gt;")</f>
        <v/>
      </c>
      <c r="AP65" s="42">
        <f>IF(ISBLANK(AQ65),"","&lt;b&gt;")</f>
        <v/>
      </c>
      <c r="AQ65" s="47" t="inlineStr">
        <is>
          <t xml:space="preserve">Agency Reduction Plan:&lt;br&gt;Additional </t>
        </is>
      </c>
      <c r="AR65" s="42" t="inlineStr">
        <is>
          <t>1</t>
        </is>
      </c>
      <c r="AS65" s="4">
        <f>IF(ISBLANK(AR65),""," %")</f>
        <v/>
      </c>
      <c r="AT65" s="4">
        <f t="array" ref="AT65">_xlfn.IFS(NOT(ISBLANK(AU65))," (pgs. ",NOT(ISBLANK(AS65))," (pg. ", ISBLANK(AS65), "")</f>
        <v/>
      </c>
      <c r="AU65" s="52" t="n">
        <v>208</v>
      </c>
      <c r="AV65" s="4">
        <f>IF(ISBLANK(AW65),"",", ")</f>
        <v/>
      </c>
      <c r="AW65" s="42" t="n"/>
      <c r="AX65" s="4">
        <f>IF(ISBLANK(AY65),"",",&lt;br&gt;")</f>
        <v/>
      </c>
      <c r="AY65" s="42" t="n"/>
      <c r="AZ65" s="49">
        <f>IF(ISBLANK(AU65),"",")&lt;/b&gt;")</f>
        <v/>
      </c>
      <c r="BA65" s="4">
        <f>IF(ISBLANK(BC65),"","&lt;br&gt;")</f>
        <v/>
      </c>
      <c r="BB65" s="42">
        <f t="array" ref="BB65">IF(ISBLANK(BC65),"",_xlfn.LET(
_xlpm.words,_xlfn.TEXTSPLIT(TRIM(BC65),"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65" s="50" t="inlineStr">
        <is>
          <t>DFM has very tight operating and personnel budgets due to the reductions we have already made in the current year. The only option for savings in the current fiscal year would likely require furloughs due to our existing operating expenditure commitments.</t>
        </is>
      </c>
    </row>
    <row r="66">
      <c r="A66" s="20">
        <f>_xlfn.TEXTJOIN("", TRUE, F66:H66)</f>
        <v/>
      </c>
      <c r="B66" s="21">
        <f>_xlfn.TEXTJOIN("", TRUE, I66:S66)</f>
        <v/>
      </c>
      <c r="C66" s="21">
        <f>IF(ISBLANK(X66),"", _xlfn.TEXTJOIN("",TRUE,T66:Z66))</f>
        <v/>
      </c>
      <c r="D66" s="21">
        <f>IF(ISBLANK(AB66), "", _xlfn.TEXTJOIN("", TRUE, AA66:AC66))</f>
        <v/>
      </c>
      <c r="E66" s="22">
        <f>IF(AU66="NA", _xlfn.TEXTJOIN("", TRUE, AD66:AH66), _xlfn.TEXTJOIN("", TRUE, AD66:AJ66))</f>
        <v/>
      </c>
      <c r="F66" s="42">
        <f>IF(LEFT(G66,4)="FY26","&lt;b&gt;","&lt;i&gt;")</f>
        <v/>
      </c>
      <c r="G66" s="42" t="inlineStr">
        <is>
          <t>FY26 Reduction</t>
        </is>
      </c>
      <c r="H66" s="42">
        <f>IF(LEFT(G66,4)="FY26","&lt;/b&gt;","&lt;/i&gt;")</f>
        <v/>
      </c>
      <c r="I66" s="43" t="inlineStr">
        <is>
          <t>&lt;i&gt;</t>
        </is>
      </c>
      <c r="J66" s="44" t="inlineStr">
        <is>
          <t>General Government</t>
        </is>
      </c>
      <c r="K66" s="44" t="inlineStr">
        <is>
          <t>&lt;/i&gt;</t>
        </is>
      </c>
      <c r="L66" s="4">
        <f>IF(ISBLANK(N66),"","&lt;br&gt;")</f>
        <v/>
      </c>
      <c r="M66" s="42">
        <f>IF(ISBLANK(R66),"&lt;b&gt;","&lt;i&gt;")</f>
        <v/>
      </c>
      <c r="N66" s="42" t="inlineStr">
        <is>
          <t>Office of the Governor</t>
        </is>
      </c>
      <c r="O66" s="42">
        <f>IF(ISBLANK(R66),"&lt;/b&gt;","&lt;/i&gt;")</f>
        <v/>
      </c>
      <c r="P66" s="4">
        <f>IF(ISBLANK(R66),"","&lt;br&gt;")</f>
        <v/>
      </c>
      <c r="Q66" s="42">
        <f>IF(ISBLANK(R66),"","&lt;b&gt;")</f>
        <v/>
      </c>
      <c r="R66" s="42" t="inlineStr">
        <is>
          <t>Div. of Human Resources</t>
        </is>
      </c>
      <c r="S66" s="42">
        <f>IF(ISBLANK(R66),"","&lt;/i&gt;")</f>
        <v/>
      </c>
      <c r="T66" s="43">
        <f>IF(ISBLANK(X66),"",IF(OR(AB66="PASSED",ISBLANK(N66)),"&lt;b&gt;","&lt;i&gt;"))</f>
        <v/>
      </c>
      <c r="U66" s="3">
        <f>IF(ISBLANK(V66),"","&lt;a href='")</f>
        <v/>
      </c>
      <c r="V66" s="39" t="inlineStr">
        <is>
          <t>https://legislature.idaho.gov/sessioninfo/2026/legislation/S1331/</t>
        </is>
      </c>
      <c r="W66" s="17">
        <f>IF(ISBLANK(V66),"","'&gt;")</f>
        <v/>
      </c>
      <c r="X66" s="12" t="inlineStr">
        <is>
          <t>Senate Bill 1331</t>
        </is>
      </c>
      <c r="Y66" s="17">
        <f>IF(ISBLANK(X66),"","&lt;/a&gt;")</f>
        <v/>
      </c>
      <c r="Z66" s="42">
        <f>IF(ISBLANK(X66),"",IF(OR(AB66="PASSED",ISBLANK(N66)),"&lt;/b&gt;","&lt;/i&gt;"))</f>
        <v/>
      </c>
      <c r="AA66" s="43">
        <f>IF(AB66="PASSED","&lt;b&gt;","")</f>
        <v/>
      </c>
      <c r="AB66" s="45" t="inlineStr">
        <is>
          <t>PASSED</t>
        </is>
      </c>
      <c r="AC66" s="43">
        <f>IF(AB66="PASSED","&lt;/b&gt;","")</f>
        <v/>
      </c>
      <c r="AD66" s="43">
        <f>IF(ISBLANK(AE66),"","&lt;b&gt;")</f>
        <v/>
      </c>
      <c r="AE66" s="51" t="inlineStr">
        <is>
          <t>03/06</t>
        </is>
      </c>
      <c r="AF66" s="42">
        <f>IF(ISBLANK(AE66),"",": ")</f>
        <v/>
      </c>
      <c r="AG66" s="42" t="inlineStr">
        <is>
          <t>House Vote 48-22</t>
        </is>
      </c>
      <c r="AH66" s="42">
        <f>IF(ISBLANK(AE66),"","&lt;/b&gt;")</f>
        <v/>
      </c>
      <c r="AI66" s="42" t="inlineStr">
        <is>
          <t>03/02: Senate Vote 18-17&lt;br&gt;02/06: FY26 holdback (-4%)</t>
        </is>
      </c>
      <c r="AJ66" s="42">
        <f>IF(ISBLANK(AI66),"","&lt;br&gt;"&amp;AI66)</f>
        <v/>
      </c>
      <c r="AK66" s="4" t="inlineStr">
        <is>
          <t>&lt;br&gt;</t>
        </is>
      </c>
      <c r="AL66" s="42" t="inlineStr">
        <is>
          <t>&lt;b&gt;&lt;i&gt;</t>
        </is>
      </c>
      <c r="AM66" s="42" t="inlineStr">
        <is>
          <t>Governor's 3% + JFAC's 1%</t>
        </is>
      </c>
      <c r="AN66" s="42">
        <f>IF(ISBLANK(AM66),"","&lt;/i&gt;")</f>
        <v/>
      </c>
      <c r="AO66" s="35">
        <f>IF(ISBLANK(AQ66),"","&lt;/b&gt;&lt;br&gt;&lt;br&gt;")</f>
        <v/>
      </c>
      <c r="AP66" s="42">
        <f>IF(ISBLANK(AQ66),"","&lt;b&gt;")</f>
        <v/>
      </c>
      <c r="AQ66" s="47" t="inlineStr">
        <is>
          <t xml:space="preserve">Agency Reduction Plan:&lt;br&gt;Additional </t>
        </is>
      </c>
      <c r="AR66" s="42" t="inlineStr">
        <is>
          <t>1</t>
        </is>
      </c>
      <c r="AS66" s="4">
        <f>IF(ISBLANK(AR66),""," %")</f>
        <v/>
      </c>
      <c r="AT66" s="4">
        <f t="array" ref="AT66">_xlfn.IFS(NOT(ISBLANK(AU66))," (pgs. ",NOT(ISBLANK(AS66))," (pg. ", ISBLANK(AS66), "")</f>
        <v/>
      </c>
      <c r="AU66" s="52" t="inlineStr">
        <is>
          <t>NA</t>
        </is>
      </c>
      <c r="AV66" s="4">
        <f>IF(ISBLANK(AW66),"",", ")</f>
        <v/>
      </c>
      <c r="AW66" s="42" t="n"/>
      <c r="AX66" s="4">
        <f>IF(ISBLANK(AY66),"",",&lt;br&gt;")</f>
        <v/>
      </c>
      <c r="AY66" s="42" t="n"/>
      <c r="AZ66" s="49">
        <f>IF(ISBLANK(AU66),"",")&lt;/b&gt;")</f>
        <v/>
      </c>
      <c r="BA66" s="4">
        <f>IF(ISBLANK(BC66),"","&lt;br&gt;")</f>
        <v/>
      </c>
      <c r="BB66" s="42">
        <f t="array" ref="BB66">IF(ISBLANK(BC66),"",_xlfn.LET(
_xlpm.words,_xlfn.TEXTSPLIT(TRIM(BC66),"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66" s="50" t="n"/>
    </row>
    <row r="67">
      <c r="A67" s="20">
        <f>_xlfn.TEXTJOIN("", TRUE, F67:H67)</f>
        <v/>
      </c>
      <c r="B67" s="21">
        <f>_xlfn.TEXTJOIN("", TRUE, I67:S67)</f>
        <v/>
      </c>
      <c r="C67" s="21">
        <f>IF(ISBLANK(X67),"", _xlfn.TEXTJOIN("",TRUE,T67:Z67))</f>
        <v/>
      </c>
      <c r="D67" s="21">
        <f>IF(ISBLANK(AB67), "", _xlfn.TEXTJOIN("", TRUE, AA67:AC67))</f>
        <v/>
      </c>
      <c r="E67" s="22">
        <f>IF(AU67="NA", _xlfn.TEXTJOIN("", TRUE, AD67:AH67), _xlfn.TEXTJOIN("", TRUE, AD67:AJ67))</f>
        <v/>
      </c>
      <c r="F67" s="42">
        <f>IF(LEFT(G67,4)="FY26","&lt;b&gt;","&lt;i&gt;")</f>
        <v/>
      </c>
      <c r="G67" s="42" t="inlineStr">
        <is>
          <t>FY26 Reduction</t>
        </is>
      </c>
      <c r="H67" s="42">
        <f>IF(LEFT(G67,4)="FY26","&lt;/b&gt;","&lt;/i&gt;")</f>
        <v/>
      </c>
      <c r="I67" s="43" t="inlineStr">
        <is>
          <t>&lt;i&gt;</t>
        </is>
      </c>
      <c r="J67" s="44" t="inlineStr">
        <is>
          <t>General Government</t>
        </is>
      </c>
      <c r="K67" s="44" t="inlineStr">
        <is>
          <t>&lt;/i&gt;</t>
        </is>
      </c>
      <c r="L67" s="4">
        <f>IF(ISBLANK(N67),"","&lt;br&gt;")</f>
        <v/>
      </c>
      <c r="M67" s="42">
        <f>IF(ISBLANK(R67),"&lt;b&gt;","&lt;i&gt;")</f>
        <v/>
      </c>
      <c r="N67" s="42" t="inlineStr">
        <is>
          <t>Office of the Governor</t>
        </is>
      </c>
      <c r="O67" s="42">
        <f>IF(ISBLANK(R67),"&lt;/b&gt;","&lt;/i&gt;")</f>
        <v/>
      </c>
      <c r="P67" s="4">
        <f>IF(ISBLANK(R67),"","&lt;br&gt;")</f>
        <v/>
      </c>
      <c r="Q67" s="42">
        <f>IF(ISBLANK(R67),"","&lt;b&gt;")</f>
        <v/>
      </c>
      <c r="R67" s="42" t="inlineStr">
        <is>
          <t>Military Div.</t>
        </is>
      </c>
      <c r="S67" s="42">
        <f>IF(ISBLANK(R67),"","&lt;/i&gt;")</f>
        <v/>
      </c>
      <c r="T67" s="43">
        <f>IF(ISBLANK(X67),"",IF(OR(AB67="PASSED",ISBLANK(N67)),"&lt;b&gt;","&lt;i&gt;"))</f>
        <v/>
      </c>
      <c r="U67" s="3">
        <f>IF(ISBLANK(V67),"","&lt;a href='")</f>
        <v/>
      </c>
      <c r="V67" s="39" t="inlineStr">
        <is>
          <t>https://legislature.idaho.gov/sessioninfo/2026/legislation/S1331/</t>
        </is>
      </c>
      <c r="W67" s="17">
        <f>IF(ISBLANK(V67),"","'&gt;")</f>
        <v/>
      </c>
      <c r="X67" s="12" t="inlineStr">
        <is>
          <t>Senate Bill 1331</t>
        </is>
      </c>
      <c r="Y67" s="17">
        <f>IF(ISBLANK(X67),"","&lt;/a&gt;")</f>
        <v/>
      </c>
      <c r="Z67" s="42">
        <f>IF(ISBLANK(X67),"",IF(OR(AB67="PASSED",ISBLANK(N67)),"&lt;/b&gt;","&lt;/i&gt;"))</f>
        <v/>
      </c>
      <c r="AA67" s="43">
        <f>IF(AB67="PASSED","&lt;b&gt;","")</f>
        <v/>
      </c>
      <c r="AB67" s="45" t="inlineStr">
        <is>
          <t>PASSED</t>
        </is>
      </c>
      <c r="AC67" s="43">
        <f>IF(AB67="PASSED","&lt;/b&gt;","")</f>
        <v/>
      </c>
      <c r="AD67" s="43">
        <f>IF(ISBLANK(AE67),"","&lt;b&gt;")</f>
        <v/>
      </c>
      <c r="AE67" s="51" t="inlineStr">
        <is>
          <t>03/06</t>
        </is>
      </c>
      <c r="AF67" s="42">
        <f>IF(ISBLANK(AE67),"",": ")</f>
        <v/>
      </c>
      <c r="AG67" s="42" t="inlineStr">
        <is>
          <t>House Vote 48-22</t>
        </is>
      </c>
      <c r="AH67" s="42">
        <f>IF(ISBLANK(AE67),"","&lt;/b&gt;")</f>
        <v/>
      </c>
      <c r="AI67" s="42" t="inlineStr">
        <is>
          <t>03/02: Senate Vote 18-17&lt;br&gt;02/06: FY26 holdback (-4%)</t>
        </is>
      </c>
      <c r="AJ67" s="42">
        <f>IF(ISBLANK(AI67),"","&lt;br&gt;"&amp;AI67)</f>
        <v/>
      </c>
      <c r="AK67" s="4" t="inlineStr">
        <is>
          <t>&lt;br&gt;</t>
        </is>
      </c>
      <c r="AL67" s="42" t="inlineStr">
        <is>
          <t>&lt;b&gt;&lt;i&gt;</t>
        </is>
      </c>
      <c r="AM67" s="42" t="inlineStr">
        <is>
          <t>Governor's 3% + JFAC's 1%</t>
        </is>
      </c>
      <c r="AN67" s="42">
        <f>IF(ISBLANK(AM67),"","&lt;/i&gt;")</f>
        <v/>
      </c>
      <c r="AO67" s="35">
        <f>IF(ISBLANK(AQ67),"","&lt;/b&gt;&lt;br&gt;&lt;br&gt;")</f>
        <v/>
      </c>
      <c r="AP67" s="42">
        <f>IF(ISBLANK(AQ67),"","&lt;b&gt;")</f>
        <v/>
      </c>
      <c r="AQ67" s="47" t="inlineStr">
        <is>
          <t xml:space="preserve">Agency Reduction Plan:&lt;br&gt;Additional </t>
        </is>
      </c>
      <c r="AR67" s="42" t="inlineStr">
        <is>
          <t>1</t>
        </is>
      </c>
      <c r="AS67" s="4">
        <f>IF(ISBLANK(AR67),""," %")</f>
        <v/>
      </c>
      <c r="AT67" s="4">
        <f t="array" ref="AT67">_xlfn.IFS(NOT(ISBLANK(AU67))," (pgs. ",NOT(ISBLANK(AS67))," (pg. ", ISBLANK(AS67), "")</f>
        <v/>
      </c>
      <c r="AU67" s="52" t="inlineStr">
        <is>
          <t>NA</t>
        </is>
      </c>
      <c r="AV67" s="4">
        <f>IF(ISBLANK(AW67),"",", ")</f>
        <v/>
      </c>
      <c r="AW67" s="42" t="n"/>
      <c r="AX67" s="4">
        <f>IF(ISBLANK(AY67),"",",&lt;br&gt;")</f>
        <v/>
      </c>
      <c r="AY67" s="42" t="n"/>
      <c r="AZ67" s="49">
        <f>IF(ISBLANK(AU67),"",")&lt;/b&gt;")</f>
        <v/>
      </c>
      <c r="BA67" s="4">
        <f>IF(ISBLANK(BC67),"","&lt;br&gt;")</f>
        <v/>
      </c>
      <c r="BB67" s="42">
        <f t="array" ref="BB67">IF(ISBLANK(BC67),"",_xlfn.LET(
_xlpm.words,_xlfn.TEXTSPLIT(TRIM(BC67),"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67" s="50" t="n"/>
    </row>
    <row r="68">
      <c r="A68" s="20">
        <f>_xlfn.TEXTJOIN("", TRUE, F68:H68)</f>
        <v/>
      </c>
      <c r="B68" s="21">
        <f>_xlfn.TEXTJOIN("", TRUE, I68:S68)</f>
        <v/>
      </c>
      <c r="C68" s="21">
        <f>IF(ISBLANK(X68),"", _xlfn.TEXTJOIN("",TRUE,T68:Z68))</f>
        <v/>
      </c>
      <c r="D68" s="21">
        <f>IF(ISBLANK(AB68), "", _xlfn.TEXTJOIN("", TRUE, AA68:AC68))</f>
        <v/>
      </c>
      <c r="E68" s="22">
        <f>IF(AU68="NA", _xlfn.TEXTJOIN("", TRUE, AD68:AH68), _xlfn.TEXTJOIN("", TRUE, AD68:AJ68))</f>
        <v/>
      </c>
      <c r="F68" s="42">
        <f>IF(LEFT(G68,4)="FY26","&lt;b&gt;","&lt;i&gt;")</f>
        <v/>
      </c>
      <c r="G68" s="42" t="inlineStr">
        <is>
          <t>FY26 Reduction</t>
        </is>
      </c>
      <c r="H68" s="42">
        <f>IF(LEFT(G68,4)="FY26","&lt;/b&gt;","&lt;/i&gt;")</f>
        <v/>
      </c>
      <c r="I68" s="43" t="inlineStr">
        <is>
          <t>&lt;i&gt;</t>
        </is>
      </c>
      <c r="J68" s="44" t="inlineStr">
        <is>
          <t>General Government</t>
        </is>
      </c>
      <c r="K68" s="44" t="inlineStr">
        <is>
          <t>&lt;/i&gt;</t>
        </is>
      </c>
      <c r="L68" s="4">
        <f>IF(ISBLANK(N68),"","&lt;br&gt;")</f>
        <v/>
      </c>
      <c r="M68" s="42">
        <f>IF(ISBLANK(R68),"&lt;b&gt;","&lt;i&gt;")</f>
        <v/>
      </c>
      <c r="N68" s="42" t="inlineStr">
        <is>
          <t>Office of the Governor</t>
        </is>
      </c>
      <c r="O68" s="42">
        <f>IF(ISBLANK(R68),"&lt;/b&gt;","&lt;/i&gt;")</f>
        <v/>
      </c>
      <c r="P68" s="4">
        <f>IF(ISBLANK(R68),"","&lt;br&gt;")</f>
        <v/>
      </c>
      <c r="Q68" s="42">
        <f>IF(ISBLANK(R68),"","&lt;b&gt;")</f>
        <v/>
      </c>
      <c r="R68" s="42" t="inlineStr">
        <is>
          <t>Office of Drug Policy</t>
        </is>
      </c>
      <c r="S68" s="42">
        <f>IF(ISBLANK(R68),"","&lt;/i&gt;")</f>
        <v/>
      </c>
      <c r="T68" s="43">
        <f>IF(ISBLANK(X68),"",IF(OR(AB68="PASSED",ISBLANK(N68)),"&lt;b&gt;","&lt;i&gt;"))</f>
        <v/>
      </c>
      <c r="U68" s="3">
        <f>IF(ISBLANK(V68),"","&lt;a href='")</f>
        <v/>
      </c>
      <c r="V68" s="39" t="inlineStr">
        <is>
          <t>https://legislature.idaho.gov/sessioninfo/2026/legislation/S1331/</t>
        </is>
      </c>
      <c r="W68" s="17">
        <f>IF(ISBLANK(V68),"","'&gt;")</f>
        <v/>
      </c>
      <c r="X68" s="12" t="inlineStr">
        <is>
          <t>Senate Bill 1331</t>
        </is>
      </c>
      <c r="Y68" s="17">
        <f>IF(ISBLANK(X68),"","&lt;/a&gt;")</f>
        <v/>
      </c>
      <c r="Z68" s="42">
        <f>IF(ISBLANK(X68),"",IF(OR(AB68="PASSED",ISBLANK(N68)),"&lt;/b&gt;","&lt;/i&gt;"))</f>
        <v/>
      </c>
      <c r="AA68" s="43">
        <f>IF(AB68="PASSED","&lt;b&gt;","")</f>
        <v/>
      </c>
      <c r="AB68" s="45" t="inlineStr">
        <is>
          <t>PASSED</t>
        </is>
      </c>
      <c r="AC68" s="43">
        <f>IF(AB68="PASSED","&lt;/b&gt;","")</f>
        <v/>
      </c>
      <c r="AD68" s="43">
        <f>IF(ISBLANK(AE68),"","&lt;b&gt;")</f>
        <v/>
      </c>
      <c r="AE68" s="51" t="inlineStr">
        <is>
          <t>03/06</t>
        </is>
      </c>
      <c r="AF68" s="42">
        <f>IF(ISBLANK(AE68),"",": ")</f>
        <v/>
      </c>
      <c r="AG68" s="42" t="inlineStr">
        <is>
          <t>House Vote 48-22</t>
        </is>
      </c>
      <c r="AH68" s="42">
        <f>IF(ISBLANK(AE68),"","&lt;/b&gt;")</f>
        <v/>
      </c>
      <c r="AI68" s="42" t="inlineStr">
        <is>
          <t>03/02: Senate Vote 18-17&lt;br&gt;02/06: FY26 holdback (-4%)</t>
        </is>
      </c>
      <c r="AJ68" s="42">
        <f>IF(ISBLANK(AI68),"","&lt;br&gt;"&amp;AI68)</f>
        <v/>
      </c>
      <c r="AK68" s="4" t="inlineStr">
        <is>
          <t>&lt;br&gt;</t>
        </is>
      </c>
      <c r="AL68" s="42" t="inlineStr">
        <is>
          <t>&lt;b&gt;&lt;i&gt;</t>
        </is>
      </c>
      <c r="AM68" s="42" t="inlineStr">
        <is>
          <t>Governor's 3% + JFAC's 1%</t>
        </is>
      </c>
      <c r="AN68" s="42">
        <f>IF(ISBLANK(AM68),"","&lt;/i&gt;")</f>
        <v/>
      </c>
      <c r="AO68" s="35">
        <f>IF(ISBLANK(AQ68),"","&lt;/b&gt;&lt;br&gt;&lt;br&gt;")</f>
        <v/>
      </c>
      <c r="AP68" s="42">
        <f>IF(ISBLANK(AQ68),"","&lt;b&gt;")</f>
        <v/>
      </c>
      <c r="AQ68" s="47" t="inlineStr">
        <is>
          <t xml:space="preserve">Agency Reduction Plan:&lt;br&gt;Additional </t>
        </is>
      </c>
      <c r="AR68" s="42" t="inlineStr">
        <is>
          <t>1</t>
        </is>
      </c>
      <c r="AS68" s="4">
        <f>IF(ISBLANK(AR68),""," %")</f>
        <v/>
      </c>
      <c r="AT68" s="4">
        <f t="array" ref="AT68">_xlfn.IFS(NOT(ISBLANK(AU68))," (pgs. ",NOT(ISBLANK(AS68))," (pg. ", ISBLANK(AS68), "")</f>
        <v/>
      </c>
      <c r="AU68" s="52" t="n">
        <v>205</v>
      </c>
      <c r="AV68" s="4">
        <f>IF(ISBLANK(AW68),"",", ")</f>
        <v/>
      </c>
      <c r="AW68" s="42" t="n"/>
      <c r="AX68" s="4">
        <f>IF(ISBLANK(AY68),"",",&lt;br&gt;")</f>
        <v/>
      </c>
      <c r="AY68" s="42" t="n"/>
      <c r="AZ68" s="49">
        <f>IF(ISBLANK(AU68),"",")&lt;/b&gt;")</f>
        <v/>
      </c>
      <c r="BA68" s="4">
        <f>IF(ISBLANK(BC68),"","&lt;br&gt;")</f>
        <v/>
      </c>
      <c r="BB68" s="42">
        <f t="array" ref="BB68">IF(ISBLANK(BC68),"",_xlfn.LET(
_xlpm.words,_xlfn.TEXTSPLIT(TRIM(BC68),"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68" s="50" t="inlineStr">
        <is>
          <t>Salary savings generated from vacant positions are being reverted at this time. While these savings reflect short-term efficiencies, continued reversion could eventually have a negative impact on General Fund personnel costs. Specifically, if the Governor and Legislature appoint a Director for the Office of Drug Policy, the resulting salary and benefit obligations would eliminate current vacancy savings and place additional pressure on personnel expenditures. Over time, this could reduce staffing flexibility and limit the ability to absorb future personnel costs within the General Fund.</t>
        </is>
      </c>
    </row>
    <row r="69">
      <c r="A69" s="20">
        <f>_xlfn.TEXTJOIN("", TRUE, F69:H69)</f>
        <v/>
      </c>
      <c r="B69" s="21">
        <f>_xlfn.TEXTJOIN("", TRUE, I69:S69)</f>
        <v/>
      </c>
      <c r="C69" s="21">
        <f>IF(ISBLANK(X69),"", _xlfn.TEXTJOIN("",TRUE,T69:Z69))</f>
        <v/>
      </c>
      <c r="D69" s="21">
        <f>IF(ISBLANK(AB69), "", _xlfn.TEXTJOIN("", TRUE, AA69:AC69))</f>
        <v/>
      </c>
      <c r="E69" s="22">
        <f>IF(AU69="NA", _xlfn.TEXTJOIN("", TRUE, AD69:AH69), _xlfn.TEXTJOIN("", TRUE, AD69:AJ69))</f>
        <v/>
      </c>
      <c r="F69" s="42">
        <f>IF(LEFT(G69,4)="FY26","&lt;b&gt;","&lt;i&gt;")</f>
        <v/>
      </c>
      <c r="G69" s="42" t="inlineStr">
        <is>
          <t>FY26 Reduction</t>
        </is>
      </c>
      <c r="H69" s="42">
        <f>IF(LEFT(G69,4)="FY26","&lt;/b&gt;","&lt;/i&gt;")</f>
        <v/>
      </c>
      <c r="I69" s="43" t="inlineStr">
        <is>
          <t>&lt;i&gt;</t>
        </is>
      </c>
      <c r="J69" s="44" t="inlineStr">
        <is>
          <t>General Government</t>
        </is>
      </c>
      <c r="K69" s="44" t="inlineStr">
        <is>
          <t>&lt;/i&gt;</t>
        </is>
      </c>
      <c r="L69" s="4">
        <f>IF(ISBLANK(N69),"","&lt;br&gt;")</f>
        <v/>
      </c>
      <c r="M69" s="42">
        <f>IF(ISBLANK(R69),"&lt;b&gt;","&lt;i&gt;")</f>
        <v/>
      </c>
      <c r="N69" s="42" t="inlineStr">
        <is>
          <t>Office of the Governor</t>
        </is>
      </c>
      <c r="O69" s="42">
        <f>IF(ISBLANK(R69),"&lt;/b&gt;","&lt;/i&gt;")</f>
        <v/>
      </c>
      <c r="P69" s="4">
        <f>IF(ISBLANK(R69),"","&lt;br&gt;")</f>
        <v/>
      </c>
      <c r="Q69" s="42">
        <f>IF(ISBLANK(R69),"","&lt;b&gt;")</f>
        <v/>
      </c>
      <c r="R69" s="42" t="inlineStr">
        <is>
          <t>Office of Energy &amp; Mineral Resources</t>
        </is>
      </c>
      <c r="S69" s="42">
        <f>IF(ISBLANK(R69),"","&lt;/i&gt;")</f>
        <v/>
      </c>
      <c r="T69" s="43">
        <f>IF(ISBLANK(X69),"",IF(OR(AB69="PASSED",ISBLANK(N69)),"&lt;b&gt;","&lt;i&gt;"))</f>
        <v/>
      </c>
      <c r="U69" s="3">
        <f>IF(ISBLANK(V69),"","&lt;a href='")</f>
        <v/>
      </c>
      <c r="V69" s="39" t="inlineStr">
        <is>
          <t>https://legislature.idaho.gov/sessioninfo/2026/legislation/S1331/</t>
        </is>
      </c>
      <c r="W69" s="17">
        <f>IF(ISBLANK(V69),"","'&gt;")</f>
        <v/>
      </c>
      <c r="X69" s="12" t="inlineStr">
        <is>
          <t>Senate Bill 1331</t>
        </is>
      </c>
      <c r="Y69" s="17">
        <f>IF(ISBLANK(X69),"","&lt;/a&gt;")</f>
        <v/>
      </c>
      <c r="Z69" s="42">
        <f>IF(ISBLANK(X69),"",IF(OR(AB69="PASSED",ISBLANK(N69)),"&lt;/b&gt;","&lt;/i&gt;"))</f>
        <v/>
      </c>
      <c r="AA69" s="43">
        <f>IF(AB69="PASSED","&lt;b&gt;","")</f>
        <v/>
      </c>
      <c r="AB69" s="45" t="inlineStr">
        <is>
          <t>PASSED</t>
        </is>
      </c>
      <c r="AC69" s="43">
        <f>IF(AB69="PASSED","&lt;/b&gt;","")</f>
        <v/>
      </c>
      <c r="AD69" s="43">
        <f>IF(ISBLANK(AE69),"","&lt;b&gt;")</f>
        <v/>
      </c>
      <c r="AE69" s="51" t="inlineStr">
        <is>
          <t>03/06</t>
        </is>
      </c>
      <c r="AF69" s="42">
        <f>IF(ISBLANK(AE69),"",": ")</f>
        <v/>
      </c>
      <c r="AG69" s="42" t="inlineStr">
        <is>
          <t>House Vote 48-22</t>
        </is>
      </c>
      <c r="AH69" s="42">
        <f>IF(ISBLANK(AE69),"","&lt;/b&gt;")</f>
        <v/>
      </c>
      <c r="AI69" s="42" t="inlineStr">
        <is>
          <t>03/02: Senate Vote 18-17&lt;br&gt;02/06: FY26 holdback (-4%)</t>
        </is>
      </c>
      <c r="AJ69" s="42">
        <f>IF(ISBLANK(AI69),"","&lt;br&gt;"&amp;AI69)</f>
        <v/>
      </c>
      <c r="AK69" s="4" t="inlineStr">
        <is>
          <t>&lt;br&gt;</t>
        </is>
      </c>
      <c r="AL69" s="42" t="inlineStr">
        <is>
          <t>&lt;b&gt;&lt;i&gt;</t>
        </is>
      </c>
      <c r="AM69" s="42" t="inlineStr">
        <is>
          <t>Governor's 3% + JFAC's 1%</t>
        </is>
      </c>
      <c r="AN69" s="42">
        <f>IF(ISBLANK(AM69),"","&lt;/i&gt;")</f>
        <v/>
      </c>
      <c r="AO69" s="35">
        <f>IF(ISBLANK(AQ69),"","&lt;/b&gt;&lt;br&gt;&lt;br&gt;")</f>
        <v/>
      </c>
      <c r="AP69" s="42">
        <f>IF(ISBLANK(AQ69),"","&lt;b&gt;")</f>
        <v/>
      </c>
      <c r="AQ69" s="47" t="inlineStr">
        <is>
          <t xml:space="preserve">Agency Reduction Plan:&lt;br&gt;Additional </t>
        </is>
      </c>
      <c r="AR69" s="42" t="inlineStr">
        <is>
          <t>1</t>
        </is>
      </c>
      <c r="AS69" s="4">
        <f>IF(ISBLANK(AR69),""," %")</f>
        <v/>
      </c>
      <c r="AT69" s="4">
        <f t="array" ref="AT69">_xlfn.IFS(NOT(ISBLANK(AU69))," (pgs. ",NOT(ISBLANK(AS69))," (pg. ", ISBLANK(AS69), "")</f>
        <v/>
      </c>
      <c r="AU69" s="52" t="inlineStr">
        <is>
          <t>NA</t>
        </is>
      </c>
      <c r="AV69" s="4">
        <f>IF(ISBLANK(AW69),"",", ")</f>
        <v/>
      </c>
      <c r="AW69" s="42" t="n"/>
      <c r="AX69" s="4">
        <f>IF(ISBLANK(AY69),"",",&lt;br&gt;")</f>
        <v/>
      </c>
      <c r="AY69" s="42" t="n"/>
      <c r="AZ69" s="49">
        <f>IF(ISBLANK(AU69),"",")&lt;/b&gt;")</f>
        <v/>
      </c>
      <c r="BA69" s="4">
        <f>IF(ISBLANK(BC69),"","&lt;br&gt;")</f>
        <v/>
      </c>
      <c r="BB69" s="42">
        <f t="array" ref="BB69">IF(ISBLANK(BC69),"",_xlfn.LET(
_xlpm.words,_xlfn.TEXTSPLIT(TRIM(BC69),"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69" s="50" t="n"/>
    </row>
    <row r="70">
      <c r="A70" s="20">
        <f>_xlfn.TEXTJOIN("", TRUE, F70:H70)</f>
        <v/>
      </c>
      <c r="B70" s="21">
        <f>_xlfn.TEXTJOIN("", TRUE, I70:S70)</f>
        <v/>
      </c>
      <c r="C70" s="21">
        <f>IF(ISBLANK(X70),"", _xlfn.TEXTJOIN("",TRUE,T70:Z70))</f>
        <v/>
      </c>
      <c r="D70" s="21">
        <f>IF(ISBLANK(AB70), "", _xlfn.TEXTJOIN("", TRUE, AA70:AC70))</f>
        <v/>
      </c>
      <c r="E70" s="22">
        <f>IF(AU70="NA", _xlfn.TEXTJOIN("", TRUE, AD70:AH70), _xlfn.TEXTJOIN("", TRUE, AD70:AJ70))</f>
        <v/>
      </c>
      <c r="F70" s="42">
        <f>IF(LEFT(G70,4)="FY26","&lt;b&gt;","&lt;i&gt;")</f>
        <v/>
      </c>
      <c r="G70" s="42" t="inlineStr">
        <is>
          <t>FY26 Reduction</t>
        </is>
      </c>
      <c r="H70" s="42">
        <f>IF(LEFT(G70,4)="FY26","&lt;/b&gt;","&lt;/i&gt;")</f>
        <v/>
      </c>
      <c r="I70" s="43" t="inlineStr">
        <is>
          <t>&lt;i&gt;</t>
        </is>
      </c>
      <c r="J70" s="44" t="inlineStr">
        <is>
          <t>General Government</t>
        </is>
      </c>
      <c r="K70" s="44" t="inlineStr">
        <is>
          <t>&lt;/i&gt;</t>
        </is>
      </c>
      <c r="L70" s="4">
        <f>IF(ISBLANK(N70),"","&lt;br&gt;")</f>
        <v/>
      </c>
      <c r="M70" s="42">
        <f>IF(ISBLANK(R70),"&lt;b&gt;","&lt;i&gt;")</f>
        <v/>
      </c>
      <c r="N70" s="42" t="inlineStr">
        <is>
          <t>Office of the Governor</t>
        </is>
      </c>
      <c r="O70" s="42">
        <f>IF(ISBLANK(R70),"&lt;/b&gt;","&lt;/i&gt;")</f>
        <v/>
      </c>
      <c r="P70" s="4">
        <f>IF(ISBLANK(R70),"","&lt;br&gt;")</f>
        <v/>
      </c>
      <c r="Q70" s="42">
        <f>IF(ISBLANK(R70),"","&lt;b&gt;")</f>
        <v/>
      </c>
      <c r="R70" s="42" t="inlineStr">
        <is>
          <t>Office of Information Technology Services</t>
        </is>
      </c>
      <c r="S70" s="42">
        <f>IF(ISBLANK(R70),"","&lt;/i&gt;")</f>
        <v/>
      </c>
      <c r="T70" s="43">
        <f>IF(ISBLANK(X70),"",IF(OR(AB70="PASSED",ISBLANK(N70)),"&lt;b&gt;","&lt;i&gt;"))</f>
        <v/>
      </c>
      <c r="U70" s="3">
        <f>IF(ISBLANK(V70),"","&lt;a href='")</f>
        <v/>
      </c>
      <c r="V70" s="39" t="inlineStr">
        <is>
          <t>https://legislature.idaho.gov/sessioninfo/2026/legislation/S1331/</t>
        </is>
      </c>
      <c r="W70" s="17">
        <f>IF(ISBLANK(V70),"","'&gt;")</f>
        <v/>
      </c>
      <c r="X70" s="12" t="inlineStr">
        <is>
          <t>Senate Bill 1331</t>
        </is>
      </c>
      <c r="Y70" s="17">
        <f>IF(ISBLANK(X70),"","&lt;/a&gt;")</f>
        <v/>
      </c>
      <c r="Z70" s="42">
        <f>IF(ISBLANK(X70),"",IF(OR(AB70="PASSED",ISBLANK(N70)),"&lt;/b&gt;","&lt;/i&gt;"))</f>
        <v/>
      </c>
      <c r="AA70" s="43">
        <f>IF(AB70="PASSED","&lt;b&gt;","")</f>
        <v/>
      </c>
      <c r="AB70" s="45" t="inlineStr">
        <is>
          <t>PASSED</t>
        </is>
      </c>
      <c r="AC70" s="43">
        <f>IF(AB70="PASSED","&lt;/b&gt;","")</f>
        <v/>
      </c>
      <c r="AD70" s="43">
        <f>IF(ISBLANK(AE70),"","&lt;b&gt;")</f>
        <v/>
      </c>
      <c r="AE70" s="51" t="inlineStr">
        <is>
          <t>03/06</t>
        </is>
      </c>
      <c r="AF70" s="42">
        <f>IF(ISBLANK(AE70),"",": ")</f>
        <v/>
      </c>
      <c r="AG70" s="42" t="inlineStr">
        <is>
          <t>House Vote 48-22</t>
        </is>
      </c>
      <c r="AH70" s="42">
        <f>IF(ISBLANK(AE70),"","&lt;/b&gt;")</f>
        <v/>
      </c>
      <c r="AI70" s="42" t="inlineStr">
        <is>
          <t>03/02: Senate Vote 18-17&lt;br&gt;02/06: FY26 holdback (-4%)</t>
        </is>
      </c>
      <c r="AJ70" s="42">
        <f>IF(ISBLANK(AI70),"","&lt;br&gt;"&amp;AI70)</f>
        <v/>
      </c>
      <c r="AK70" s="4" t="inlineStr">
        <is>
          <t>&lt;br&gt;</t>
        </is>
      </c>
      <c r="AL70" s="42" t="inlineStr">
        <is>
          <t>&lt;b&gt;&lt;i&gt;</t>
        </is>
      </c>
      <c r="AM70" s="42" t="inlineStr">
        <is>
          <t>Governor's 3% + JFAC's 1%</t>
        </is>
      </c>
      <c r="AN70" s="42">
        <f>IF(ISBLANK(AM70),"","&lt;/i&gt;")</f>
        <v/>
      </c>
      <c r="AO70" s="35">
        <f>IF(ISBLANK(AQ70),"","&lt;/b&gt;&lt;br&gt;&lt;br&gt;")</f>
        <v/>
      </c>
      <c r="AP70" s="42">
        <f>IF(ISBLANK(AQ70),"","&lt;b&gt;")</f>
        <v/>
      </c>
      <c r="AQ70" s="47" t="inlineStr">
        <is>
          <t xml:space="preserve">Agency Reduction Plan:&lt;br&gt;Additional </t>
        </is>
      </c>
      <c r="AR70" s="42" t="inlineStr">
        <is>
          <t>1</t>
        </is>
      </c>
      <c r="AS70" s="4">
        <f>IF(ISBLANK(AR70),""," %")</f>
        <v/>
      </c>
      <c r="AT70" s="4">
        <f t="array" ref="AT70">_xlfn.IFS(NOT(ISBLANK(AU70))," (pgs. ",NOT(ISBLANK(AS70))," (pg. ", ISBLANK(AS70), "")</f>
        <v/>
      </c>
      <c r="AU70" s="52" t="n">
        <v>214</v>
      </c>
      <c r="AV70" s="4">
        <f>IF(ISBLANK(AW70),"",", ")</f>
        <v/>
      </c>
      <c r="AW70" s="42" t="n"/>
      <c r="AX70" s="4">
        <f>IF(ISBLANK(AY70),"",",&lt;br&gt;")</f>
        <v/>
      </c>
      <c r="AY70" s="42" t="n"/>
      <c r="AZ70" s="49">
        <f>IF(ISBLANK(AU70),"",")&lt;/b&gt;")</f>
        <v/>
      </c>
      <c r="BA70" s="4">
        <f>IF(ISBLANK(BC70),"","&lt;br&gt;")</f>
        <v/>
      </c>
      <c r="BB70" s="42">
        <f t="array" ref="BB70">IF(ISBLANK(BC70),"",_xlfn.LET(
_xlpm.words,_xlfn.TEXTSPLIT(TRIM(BC70),"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70" s="50" t="inlineStr">
        <is>
          <t>This plan protects the personnel budget as all positions and labor hours are critical to fulfilling our mission, and it excludes reductions to critical line-item projects in progress as part of our combined FY 2026 and FY 2027 plan to sustain critical services during this challenging budget period. To fulfill this additional budget reduction, ITS would further reduce expenditures within the employee travel/training portion of our spending plan, which includes employee travel, employee development, and both individual and group memberships. 69% of the ITS travel plan is for essential IT support of the statewide network, agency customers and necessary memberships. This includes on-site support of network and customers, deployment of computers and networking equipment, multi-partner cybersecurity drills, and required administrative travel. The other 31% is to ensure employees are current with skills and knowledge with constantly developing IT industry standards to reduce statewide risks of cyber threats and maintain statewide employee productivity. Funding reductions would be from the later 31% until prioritized funding becomes available. These additional reductions would increase risks of outdated critical knowledge and delayed customer support. Within this area, ITS also rents vehicles to provide necessary customer support given the limited number of vehicles in the fleet. For FY 2026, ITS has already placed a freeze on all non-essential travel (as described above) as we work through an internal FY 2026-2027 critical services plan to sustain the statewide network and manage risks. Any further reductions will limit resources to solve that critical services effort.</t>
        </is>
      </c>
    </row>
    <row r="71">
      <c r="A71" s="20">
        <f>_xlfn.TEXTJOIN("", TRUE, F71:H71)</f>
        <v/>
      </c>
      <c r="B71" s="21">
        <f>_xlfn.TEXTJOIN("", TRUE, I71:S71)</f>
        <v/>
      </c>
      <c r="C71" s="21">
        <f>IF(ISBLANK(X71),"", _xlfn.TEXTJOIN("",TRUE,T71:Z71))</f>
        <v/>
      </c>
      <c r="D71" s="21">
        <f>IF(ISBLANK(AB71), "", _xlfn.TEXTJOIN("", TRUE, AA71:AC71))</f>
        <v/>
      </c>
      <c r="E71" s="22">
        <f>IF(AU71="NA", _xlfn.TEXTJOIN("", TRUE, AD71:AH71), _xlfn.TEXTJOIN("", TRUE, AD71:AJ71))</f>
        <v/>
      </c>
      <c r="F71" s="42">
        <f>IF(LEFT(G71,4)="FY26","&lt;b&gt;","&lt;i&gt;")</f>
        <v/>
      </c>
      <c r="G71" s="42" t="inlineStr">
        <is>
          <t>FY26 Reduction</t>
        </is>
      </c>
      <c r="H71" s="42">
        <f>IF(LEFT(G71,4)="FY26","&lt;/b&gt;","&lt;/i&gt;")</f>
        <v/>
      </c>
      <c r="I71" s="43" t="inlineStr">
        <is>
          <t>&lt;i&gt;</t>
        </is>
      </c>
      <c r="J71" s="44" t="inlineStr">
        <is>
          <t>General Government</t>
        </is>
      </c>
      <c r="K71" s="44" t="inlineStr">
        <is>
          <t>&lt;/i&gt;</t>
        </is>
      </c>
      <c r="L71" s="4">
        <f>IF(ISBLANK(N71),"","&lt;br&gt;")</f>
        <v/>
      </c>
      <c r="M71" s="42">
        <f>IF(ISBLANK(R71),"&lt;b&gt;","&lt;i&gt;")</f>
        <v/>
      </c>
      <c r="N71" s="42" t="inlineStr">
        <is>
          <t>Office of the Governor</t>
        </is>
      </c>
      <c r="O71" s="42">
        <f>IF(ISBLANK(R71),"&lt;/b&gt;","&lt;/i&gt;")</f>
        <v/>
      </c>
      <c r="P71" s="4">
        <f>IF(ISBLANK(R71),"","&lt;br&gt;")</f>
        <v/>
      </c>
      <c r="Q71" s="42">
        <f>IF(ISBLANK(R71),"","&lt;b&gt;")</f>
        <v/>
      </c>
      <c r="R71" s="42" t="inlineStr">
        <is>
          <t>Office of Species Conservation</t>
        </is>
      </c>
      <c r="S71" s="42">
        <f>IF(ISBLANK(R71),"","&lt;/i&gt;")</f>
        <v/>
      </c>
      <c r="T71" s="43">
        <f>IF(ISBLANK(X71),"",IF(OR(AB71="PASSED",ISBLANK(N71)),"&lt;b&gt;","&lt;i&gt;"))</f>
        <v/>
      </c>
      <c r="U71" s="3">
        <f>IF(ISBLANK(V71),"","&lt;a href='")</f>
        <v/>
      </c>
      <c r="V71" s="39" t="inlineStr">
        <is>
          <t>https://legislature.idaho.gov/sessioninfo/2026/legislation/S1331/</t>
        </is>
      </c>
      <c r="W71" s="17">
        <f>IF(ISBLANK(V71),"","'&gt;")</f>
        <v/>
      </c>
      <c r="X71" s="12" t="inlineStr">
        <is>
          <t>Senate Bill 1331</t>
        </is>
      </c>
      <c r="Y71" s="17">
        <f>IF(ISBLANK(X71),"","&lt;/a&gt;")</f>
        <v/>
      </c>
      <c r="Z71" s="42">
        <f>IF(ISBLANK(X71),"",IF(OR(AB71="PASSED",ISBLANK(N71)),"&lt;/b&gt;","&lt;/i&gt;"))</f>
        <v/>
      </c>
      <c r="AA71" s="43">
        <f>IF(AB71="PASSED","&lt;b&gt;","")</f>
        <v/>
      </c>
      <c r="AB71" s="45" t="inlineStr">
        <is>
          <t>PASSED</t>
        </is>
      </c>
      <c r="AC71" s="43">
        <f>IF(AB71="PASSED","&lt;/b&gt;","")</f>
        <v/>
      </c>
      <c r="AD71" s="43">
        <f>IF(ISBLANK(AE71),"","&lt;b&gt;")</f>
        <v/>
      </c>
      <c r="AE71" s="51" t="inlineStr">
        <is>
          <t>03/06</t>
        </is>
      </c>
      <c r="AF71" s="42">
        <f>IF(ISBLANK(AE71),"",": ")</f>
        <v/>
      </c>
      <c r="AG71" s="42" t="inlineStr">
        <is>
          <t>House Vote 48-22</t>
        </is>
      </c>
      <c r="AH71" s="42">
        <f>IF(ISBLANK(AE71),"","&lt;/b&gt;")</f>
        <v/>
      </c>
      <c r="AI71" s="42" t="inlineStr">
        <is>
          <t>03/02: Senate Vote 18-17&lt;br&gt;02/06: FY26 holdback (-4%)</t>
        </is>
      </c>
      <c r="AJ71" s="42">
        <f>IF(ISBLANK(AI71),"","&lt;br&gt;"&amp;AI71)</f>
        <v/>
      </c>
      <c r="AK71" s="4" t="inlineStr">
        <is>
          <t>&lt;br&gt;</t>
        </is>
      </c>
      <c r="AL71" s="42" t="inlineStr">
        <is>
          <t>&lt;b&gt;&lt;i&gt;</t>
        </is>
      </c>
      <c r="AM71" s="42" t="inlineStr">
        <is>
          <t>Governor's 3% + JFAC's 1%</t>
        </is>
      </c>
      <c r="AN71" s="42">
        <f>IF(ISBLANK(AM71),"","&lt;/i&gt;")</f>
        <v/>
      </c>
      <c r="AO71" s="35">
        <f>IF(ISBLANK(AQ71),"","&lt;/b&gt;&lt;br&gt;&lt;br&gt;")</f>
        <v/>
      </c>
      <c r="AP71" s="42">
        <f>IF(ISBLANK(AQ71),"","&lt;b&gt;")</f>
        <v/>
      </c>
      <c r="AQ71" s="47" t="inlineStr">
        <is>
          <t xml:space="preserve">Agency Reduction Plan:&lt;br&gt;Additional </t>
        </is>
      </c>
      <c r="AR71" s="42" t="inlineStr">
        <is>
          <t>1</t>
        </is>
      </c>
      <c r="AS71" s="4">
        <f>IF(ISBLANK(AR71),""," %")</f>
        <v/>
      </c>
      <c r="AT71" s="4">
        <f t="array" ref="AT71">_xlfn.IFS(NOT(ISBLANK(AU71))," (pgs. ",NOT(ISBLANK(AS71))," (pg. ", ISBLANK(AS71), "")</f>
        <v/>
      </c>
      <c r="AU71" s="52" t="n">
        <v>216</v>
      </c>
      <c r="AV71" s="4">
        <f>IF(ISBLANK(AW71),"",", ")</f>
        <v/>
      </c>
      <c r="AW71" s="42" t="n"/>
      <c r="AX71" s="4">
        <f>IF(ISBLANK(AY71),"",",&lt;br&gt;")</f>
        <v/>
      </c>
      <c r="AY71" s="42" t="n"/>
      <c r="AZ71" s="49">
        <f>IF(ISBLANK(AU71),"",")&lt;/b&gt;")</f>
        <v/>
      </c>
      <c r="BA71" s="4">
        <f>IF(ISBLANK(BC71),"","&lt;br&gt;")</f>
        <v/>
      </c>
      <c r="BB71" s="42">
        <f t="array" ref="BB71">IF(ISBLANK(BC71),"",_xlfn.LET(
_xlpm.words,_xlfn.TEXTSPLIT(TRIM(BC71),"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71" s="50" t="inlineStr">
        <is>
          <t>General fund budget reductions will impact the Terrestrial program resulting in less stakeholder engagement. For FY26 the sage-grouse program has obligated the all of the general funding available through agreements. If the program needs to reduce 1 – 2% for FY26, the program will need to take away funding from projects that we have agreed to fund and are planned to be implemented before June. This would remove funding that is helping private landowners with sage grouse habitat restoration or funding that has been identified to help the Rangeland Fire Protection Associations with personal protective equipment (PPE) and radios for communications when fighting wildfire.</t>
        </is>
      </c>
    </row>
    <row r="72">
      <c r="A72" s="20">
        <f>_xlfn.TEXTJOIN("", TRUE, F72:H72)</f>
        <v/>
      </c>
      <c r="B72" s="21">
        <f>_xlfn.TEXTJOIN("", TRUE, I72:S72)</f>
        <v/>
      </c>
      <c r="C72" s="21">
        <f>IF(ISBLANK(X72),"", _xlfn.TEXTJOIN("",TRUE,T72:Z72))</f>
        <v/>
      </c>
      <c r="D72" s="21">
        <f>IF(ISBLANK(AB72), "", _xlfn.TEXTJOIN("", TRUE, AA72:AC72))</f>
        <v/>
      </c>
      <c r="E72" s="22">
        <f>IF(AU72="NA", _xlfn.TEXTJOIN("", TRUE, AD72:AH72), _xlfn.TEXTJOIN("", TRUE, AD72:AJ72))</f>
        <v/>
      </c>
      <c r="F72" s="42">
        <f>IF(LEFT(G72,4)="FY26","&lt;b&gt;","&lt;i&gt;")</f>
        <v/>
      </c>
      <c r="G72" s="42" t="inlineStr">
        <is>
          <t>FY26 Reduction</t>
        </is>
      </c>
      <c r="H72" s="42">
        <f>IF(LEFT(G72,4)="FY26","&lt;/b&gt;","&lt;/i&gt;")</f>
        <v/>
      </c>
      <c r="I72" s="43" t="inlineStr">
        <is>
          <t>&lt;i&gt;</t>
        </is>
      </c>
      <c r="J72" s="44" t="inlineStr">
        <is>
          <t>General Government</t>
        </is>
      </c>
      <c r="K72" s="44" t="inlineStr">
        <is>
          <t>&lt;/i&gt;</t>
        </is>
      </c>
      <c r="L72" s="4">
        <f>IF(ISBLANK(N72),"","&lt;br&gt;")</f>
        <v/>
      </c>
      <c r="M72" s="42">
        <f>IF(ISBLANK(R72),"&lt;b&gt;","&lt;i&gt;")</f>
        <v/>
      </c>
      <c r="N72" s="42" t="inlineStr">
        <is>
          <t>Office of the Governor</t>
        </is>
      </c>
      <c r="O72" s="42">
        <f>IF(ISBLANK(R72),"&lt;/b&gt;","&lt;/i&gt;")</f>
        <v/>
      </c>
      <c r="P72" s="4">
        <f>IF(ISBLANK(R72),"","&lt;br&gt;")</f>
        <v/>
      </c>
      <c r="Q72" s="42">
        <f>IF(ISBLANK(R72),"","&lt;b&gt;")</f>
        <v/>
      </c>
      <c r="R72" s="42" t="inlineStr">
        <is>
          <t>Public Employee Retirement System</t>
        </is>
      </c>
      <c r="S72" s="42">
        <f>IF(ISBLANK(R72),"","&lt;/i&gt;")</f>
        <v/>
      </c>
      <c r="T72" s="43">
        <f>IF(ISBLANK(X72),"",IF(OR(AB72="PASSED",ISBLANK(N72)),"&lt;b&gt;","&lt;i&gt;"))</f>
        <v/>
      </c>
      <c r="U72" s="3">
        <f>IF(ISBLANK(V72),"","&lt;a href='")</f>
        <v/>
      </c>
      <c r="V72" s="39" t="inlineStr">
        <is>
          <t>https://legislature.idaho.gov/sessioninfo/2026/legislation/S1331/</t>
        </is>
      </c>
      <c r="W72" s="17">
        <f>IF(ISBLANK(V72),"","'&gt;")</f>
        <v/>
      </c>
      <c r="X72" s="12" t="inlineStr">
        <is>
          <t>Senate Bill 1331</t>
        </is>
      </c>
      <c r="Y72" s="17">
        <f>IF(ISBLANK(X72),"","&lt;/a&gt;")</f>
        <v/>
      </c>
      <c r="Z72" s="42">
        <f>IF(ISBLANK(X72),"",IF(OR(AB72="PASSED",ISBLANK(N72)),"&lt;/b&gt;","&lt;/i&gt;"))</f>
        <v/>
      </c>
      <c r="AA72" s="43">
        <f>IF(AB72="PASSED","&lt;b&gt;","")</f>
        <v/>
      </c>
      <c r="AB72" s="45" t="inlineStr">
        <is>
          <t>PASSED</t>
        </is>
      </c>
      <c r="AC72" s="43">
        <f>IF(AB72="PASSED","&lt;/b&gt;","")</f>
        <v/>
      </c>
      <c r="AD72" s="43">
        <f>IF(ISBLANK(AE72),"","&lt;b&gt;")</f>
        <v/>
      </c>
      <c r="AE72" s="51" t="inlineStr">
        <is>
          <t>03/06</t>
        </is>
      </c>
      <c r="AF72" s="42">
        <f>IF(ISBLANK(AE72),"",": ")</f>
        <v/>
      </c>
      <c r="AG72" s="42" t="inlineStr">
        <is>
          <t>House Vote 48-22</t>
        </is>
      </c>
      <c r="AH72" s="42">
        <f>IF(ISBLANK(AE72),"","&lt;/b&gt;")</f>
        <v/>
      </c>
      <c r="AI72" s="42" t="inlineStr">
        <is>
          <t>03/02: Senate Vote 18-17&lt;br&gt;02/06: FY26 holdback (-4%)</t>
        </is>
      </c>
      <c r="AJ72" s="42">
        <f>IF(ISBLANK(AI72),"","&lt;br&gt;"&amp;AI72)</f>
        <v/>
      </c>
      <c r="AK72" s="4" t="inlineStr">
        <is>
          <t>&lt;br&gt;</t>
        </is>
      </c>
      <c r="AL72" s="42" t="inlineStr">
        <is>
          <t>&lt;b&gt;&lt;i&gt;</t>
        </is>
      </c>
      <c r="AM72" s="42" t="inlineStr">
        <is>
          <t>Governor's 3% + JFAC's 1%</t>
        </is>
      </c>
      <c r="AN72" s="42">
        <f>IF(ISBLANK(AM72),"","&lt;/i&gt;")</f>
        <v/>
      </c>
      <c r="AO72" s="35">
        <f>IF(ISBLANK(AQ72),"","&lt;/b&gt;&lt;br&gt;&lt;br&gt;")</f>
        <v/>
      </c>
      <c r="AP72" s="42">
        <f>IF(ISBLANK(AQ72),"","&lt;b&gt;")</f>
        <v/>
      </c>
      <c r="AQ72" s="47" t="inlineStr">
        <is>
          <t xml:space="preserve">Agency Reduction Plan:&lt;br&gt;Additional </t>
        </is>
      </c>
      <c r="AR72" s="42" t="inlineStr">
        <is>
          <t>1</t>
        </is>
      </c>
      <c r="AS72" s="4">
        <f>IF(ISBLANK(AR72),""," %")</f>
        <v/>
      </c>
      <c r="AT72" s="4">
        <f t="array" ref="AT72">_xlfn.IFS(NOT(ISBLANK(AU72))," (pgs. ",NOT(ISBLANK(AS72))," (pg. ", ISBLANK(AS72), "")</f>
        <v/>
      </c>
      <c r="AU72" s="52" t="inlineStr">
        <is>
          <t>NA</t>
        </is>
      </c>
      <c r="AV72" s="4">
        <f>IF(ISBLANK(AW72),"",", ")</f>
        <v/>
      </c>
      <c r="AW72" s="42" t="n"/>
      <c r="AX72" s="4">
        <f>IF(ISBLANK(AY72),"",",&lt;br&gt;")</f>
        <v/>
      </c>
      <c r="AY72" s="42" t="n"/>
      <c r="AZ72" s="49">
        <f>IF(ISBLANK(AU72),"",")&lt;/b&gt;")</f>
        <v/>
      </c>
      <c r="BA72" s="4">
        <f>IF(ISBLANK(BC72),"","&lt;br&gt;")</f>
        <v/>
      </c>
      <c r="BB72" s="42">
        <f t="array" ref="BB72">IF(ISBLANK(BC72),"",_xlfn.LET(
_xlpm.words,_xlfn.TEXTSPLIT(TRIM(BC72),"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72" s="50" t="n"/>
    </row>
    <row r="73">
      <c r="A73" s="20">
        <f>_xlfn.TEXTJOIN("", TRUE, F73:H73)</f>
        <v/>
      </c>
      <c r="B73" s="21">
        <f>_xlfn.TEXTJOIN("", TRUE, I73:S73)</f>
        <v/>
      </c>
      <c r="C73" s="21">
        <f>IF(ISBLANK(X73),"", _xlfn.TEXTJOIN("",TRUE,T73:Z73))</f>
        <v/>
      </c>
      <c r="D73" s="21">
        <f>IF(ISBLANK(AB73), "", _xlfn.TEXTJOIN("", TRUE, AA73:AC73))</f>
        <v/>
      </c>
      <c r="E73" s="22">
        <f>IF(AU73="NA", _xlfn.TEXTJOIN("", TRUE, AD73:AH73), _xlfn.TEXTJOIN("", TRUE, AD73:AJ73))</f>
        <v/>
      </c>
      <c r="F73" s="42">
        <f>IF(LEFT(G73,4)="FY26","&lt;b&gt;","&lt;i&gt;")</f>
        <v/>
      </c>
      <c r="G73" s="42" t="inlineStr">
        <is>
          <t>FY26 Reduction</t>
        </is>
      </c>
      <c r="H73" s="42">
        <f>IF(LEFT(G73,4)="FY26","&lt;/b&gt;","&lt;/i&gt;")</f>
        <v/>
      </c>
      <c r="I73" s="43" t="inlineStr">
        <is>
          <t>&lt;i&gt;</t>
        </is>
      </c>
      <c r="J73" s="44" t="inlineStr">
        <is>
          <t>General Government</t>
        </is>
      </c>
      <c r="K73" s="44" t="inlineStr">
        <is>
          <t>&lt;/i&gt;</t>
        </is>
      </c>
      <c r="L73" s="4">
        <f>IF(ISBLANK(N73),"","&lt;br&gt;")</f>
        <v/>
      </c>
      <c r="M73" s="42">
        <f>IF(ISBLANK(R73),"&lt;b&gt;","&lt;i&gt;")</f>
        <v/>
      </c>
      <c r="N73" s="42" t="inlineStr">
        <is>
          <t>Office of the Governor</t>
        </is>
      </c>
      <c r="O73" s="42">
        <f>IF(ISBLANK(R73),"&lt;/b&gt;","&lt;/i&gt;")</f>
        <v/>
      </c>
      <c r="P73" s="4">
        <f>IF(ISBLANK(R73),"","&lt;br&gt;")</f>
        <v/>
      </c>
      <c r="Q73" s="42">
        <f>IF(ISBLANK(R73),"","&lt;b&gt;")</f>
        <v/>
      </c>
      <c r="R73" s="42" t="inlineStr">
        <is>
          <t>STEM Action Center</t>
        </is>
      </c>
      <c r="S73" s="42">
        <f>IF(ISBLANK(R73),"","&lt;/i&gt;")</f>
        <v/>
      </c>
      <c r="T73" s="43">
        <f>IF(ISBLANK(X73),"",IF(OR(AB73="PASSED",ISBLANK(N73)),"&lt;b&gt;","&lt;i&gt;"))</f>
        <v/>
      </c>
      <c r="U73" s="3">
        <f>IF(ISBLANK(V73),"","&lt;a href='")</f>
        <v/>
      </c>
      <c r="V73" s="39" t="inlineStr">
        <is>
          <t>https://legislature.idaho.gov/sessioninfo/2026/legislation/S1331/</t>
        </is>
      </c>
      <c r="W73" s="17">
        <f>IF(ISBLANK(V73),"","'&gt;")</f>
        <v/>
      </c>
      <c r="X73" s="12" t="inlineStr">
        <is>
          <t>Senate Bill 1331</t>
        </is>
      </c>
      <c r="Y73" s="17">
        <f>IF(ISBLANK(X73),"","&lt;/a&gt;")</f>
        <v/>
      </c>
      <c r="Z73" s="42">
        <f>IF(ISBLANK(X73),"",IF(OR(AB73="PASSED",ISBLANK(N73)),"&lt;/b&gt;","&lt;/i&gt;"))</f>
        <v/>
      </c>
      <c r="AA73" s="43">
        <f>IF(AB73="PASSED","&lt;b&gt;","")</f>
        <v/>
      </c>
      <c r="AB73" s="45" t="inlineStr">
        <is>
          <t>PASSED</t>
        </is>
      </c>
      <c r="AC73" s="43">
        <f>IF(AB73="PASSED","&lt;/b&gt;","")</f>
        <v/>
      </c>
      <c r="AD73" s="43">
        <f>IF(ISBLANK(AE73),"","&lt;b&gt;")</f>
        <v/>
      </c>
      <c r="AE73" s="51" t="inlineStr">
        <is>
          <t>03/06</t>
        </is>
      </c>
      <c r="AF73" s="42">
        <f>IF(ISBLANK(AE73),"",": ")</f>
        <v/>
      </c>
      <c r="AG73" s="42" t="inlineStr">
        <is>
          <t>House Vote 48-22</t>
        </is>
      </c>
      <c r="AH73" s="42">
        <f>IF(ISBLANK(AE73),"","&lt;/b&gt;")</f>
        <v/>
      </c>
      <c r="AI73" s="42" t="inlineStr">
        <is>
          <t>03/02: Senate Vote 18-17&lt;br&gt;02/06: FY26 holdback (-4%)</t>
        </is>
      </c>
      <c r="AJ73" s="42">
        <f>IF(ISBLANK(AI73),"","&lt;br&gt;"&amp;AI73)</f>
        <v/>
      </c>
      <c r="AK73" s="4" t="inlineStr">
        <is>
          <t>&lt;br&gt;</t>
        </is>
      </c>
      <c r="AL73" s="42" t="inlineStr">
        <is>
          <t>&lt;b&gt;&lt;i&gt;</t>
        </is>
      </c>
      <c r="AM73" s="42" t="inlineStr">
        <is>
          <t>Governor's 3% + JFAC's 1%</t>
        </is>
      </c>
      <c r="AN73" s="42">
        <f>IF(ISBLANK(AM73),"","&lt;/i&gt;")</f>
        <v/>
      </c>
      <c r="AO73" s="35">
        <f>IF(ISBLANK(AQ73),"","&lt;/b&gt;&lt;br&gt;&lt;br&gt;")</f>
        <v/>
      </c>
      <c r="AP73" s="42">
        <f>IF(ISBLANK(AQ73),"","&lt;b&gt;")</f>
        <v/>
      </c>
      <c r="AQ73" s="47" t="inlineStr">
        <is>
          <t xml:space="preserve">Agency Reduction Plan:&lt;br&gt;Additional </t>
        </is>
      </c>
      <c r="AR73" s="42" t="inlineStr">
        <is>
          <t>1</t>
        </is>
      </c>
      <c r="AS73" s="4">
        <f>IF(ISBLANK(AR73),""," %")</f>
        <v/>
      </c>
      <c r="AT73" s="4">
        <f t="array" ref="AT73">_xlfn.IFS(NOT(ISBLANK(AU73))," (pgs. ",NOT(ISBLANK(AS73))," (pg. ", ISBLANK(AS73), "")</f>
        <v/>
      </c>
      <c r="AU73" s="52" t="n">
        <v>219</v>
      </c>
      <c r="AV73" s="4">
        <f>IF(ISBLANK(AW73),"",", ")</f>
        <v/>
      </c>
      <c r="AW73" s="42" t="n"/>
      <c r="AX73" s="4">
        <f>IF(ISBLANK(AY73),"",",&lt;br&gt;")</f>
        <v/>
      </c>
      <c r="AY73" s="42" t="n"/>
      <c r="AZ73" s="49">
        <f>IF(ISBLANK(AU73),"",")&lt;/b&gt;")</f>
        <v/>
      </c>
      <c r="BA73" s="4">
        <f>IF(ISBLANK(BC73),"","&lt;br&gt;")</f>
        <v/>
      </c>
      <c r="BB73" s="42">
        <f t="array" ref="BB73">IF(ISBLANK(BC73),"",_xlfn.LET(
_xlpm.words,_xlfn.TEXTSPLIT(TRIM(BC73),"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73" s="50" t="inlineStr">
        <is>
          <t>This salary savings is a part of the additional 2.0 FTP that the STEM AC is planning to return via pending consolidation legislation with the Workforce Development Council. It is the maximum amount STEM AC can reduce without leaving the agency at risk of any uncertain payroll actions such as turnover, vacation payout, or overtime.</t>
        </is>
      </c>
    </row>
    <row r="74">
      <c r="A74" s="20">
        <f>_xlfn.TEXTJOIN("", TRUE, F74:H74)</f>
        <v/>
      </c>
      <c r="B74" s="21">
        <f>_xlfn.TEXTJOIN("", TRUE, I74:S74)</f>
        <v/>
      </c>
      <c r="C74" s="21">
        <f>IF(ISBLANK(X74),"", _xlfn.TEXTJOIN("",TRUE,T74:Z74))</f>
        <v/>
      </c>
      <c r="D74" s="21">
        <f>IF(ISBLANK(AB74), "", _xlfn.TEXTJOIN("", TRUE, AA74:AC74))</f>
        <v/>
      </c>
      <c r="E74" s="22">
        <f>IF(AU74="NA", _xlfn.TEXTJOIN("", TRUE, AD74:AH74), _xlfn.TEXTJOIN("", TRUE, AD74:AJ74))</f>
        <v/>
      </c>
      <c r="F74" s="42">
        <f>IF(LEFT(G74,4)="FY26","&lt;b&gt;","&lt;i&gt;")</f>
        <v/>
      </c>
      <c r="G74" s="42" t="inlineStr">
        <is>
          <t>FY26 Reduction</t>
        </is>
      </c>
      <c r="H74" s="42">
        <f>IF(LEFT(G74,4)="FY26","&lt;/b&gt;","&lt;/i&gt;")</f>
        <v/>
      </c>
      <c r="I74" s="43" t="inlineStr">
        <is>
          <t>&lt;i&gt;</t>
        </is>
      </c>
      <c r="J74" s="44" t="inlineStr">
        <is>
          <t>General Government</t>
        </is>
      </c>
      <c r="K74" s="44" t="inlineStr">
        <is>
          <t>&lt;/i&gt;</t>
        </is>
      </c>
      <c r="L74" s="4">
        <f>IF(ISBLANK(N74),"","&lt;br&gt;")</f>
        <v/>
      </c>
      <c r="M74" s="42">
        <f>IF(ISBLANK(R74),"&lt;b&gt;","&lt;i&gt;")</f>
        <v/>
      </c>
      <c r="N74" s="42" t="inlineStr">
        <is>
          <t>Office of the Governor</t>
        </is>
      </c>
      <c r="O74" s="42">
        <f>IF(ISBLANK(R74),"&lt;/b&gt;","&lt;/i&gt;")</f>
        <v/>
      </c>
      <c r="P74" s="4">
        <f>IF(ISBLANK(R74),"","&lt;br&gt;")</f>
        <v/>
      </c>
      <c r="Q74" s="42">
        <f>IF(ISBLANK(R74),"","&lt;b&gt;")</f>
        <v/>
      </c>
      <c r="R74" s="42" t="inlineStr">
        <is>
          <t>State Liquor Div.</t>
        </is>
      </c>
      <c r="S74" s="42">
        <f>IF(ISBLANK(R74),"","&lt;/i&gt;")</f>
        <v/>
      </c>
      <c r="T74" s="43">
        <f>IF(ISBLANK(X74),"",IF(OR(AB74="PASSED",ISBLANK(N74)),"&lt;b&gt;","&lt;i&gt;"))</f>
        <v/>
      </c>
      <c r="U74" s="3">
        <f>IF(ISBLANK(V74),"","&lt;a href='")</f>
        <v/>
      </c>
      <c r="V74" s="39" t="inlineStr">
        <is>
          <t>https://legislature.idaho.gov/sessioninfo/2026/legislation/S1331/</t>
        </is>
      </c>
      <c r="W74" s="17">
        <f>IF(ISBLANK(V74),"","'&gt;")</f>
        <v/>
      </c>
      <c r="X74" s="12" t="inlineStr">
        <is>
          <t>Senate Bill 1331</t>
        </is>
      </c>
      <c r="Y74" s="17">
        <f>IF(ISBLANK(X74),"","&lt;/a&gt;")</f>
        <v/>
      </c>
      <c r="Z74" s="42">
        <f>IF(ISBLANK(X74),"",IF(OR(AB74="PASSED",ISBLANK(N74)),"&lt;/b&gt;","&lt;/i&gt;"))</f>
        <v/>
      </c>
      <c r="AA74" s="43">
        <f>IF(AB74="PASSED","&lt;b&gt;","")</f>
        <v/>
      </c>
      <c r="AB74" s="45" t="inlineStr">
        <is>
          <t>PASSED</t>
        </is>
      </c>
      <c r="AC74" s="43">
        <f>IF(AB74="PASSED","&lt;/b&gt;","")</f>
        <v/>
      </c>
      <c r="AD74" s="43">
        <f>IF(ISBLANK(AE74),"","&lt;b&gt;")</f>
        <v/>
      </c>
      <c r="AE74" s="51" t="inlineStr">
        <is>
          <t>03/06</t>
        </is>
      </c>
      <c r="AF74" s="42">
        <f>IF(ISBLANK(AE74),"",": ")</f>
        <v/>
      </c>
      <c r="AG74" s="42" t="inlineStr">
        <is>
          <t>House Vote 48-22</t>
        </is>
      </c>
      <c r="AH74" s="42">
        <f>IF(ISBLANK(AE74),"","&lt;/b&gt;")</f>
        <v/>
      </c>
      <c r="AI74" s="42" t="inlineStr">
        <is>
          <t>03/02: Senate Vote 18-17&lt;br&gt;02/06: FY26 holdback (-4%)</t>
        </is>
      </c>
      <c r="AJ74" s="42">
        <f>IF(ISBLANK(AI74),"","&lt;br&gt;"&amp;AI74)</f>
        <v/>
      </c>
      <c r="AK74" s="4" t="inlineStr">
        <is>
          <t>&lt;br&gt;</t>
        </is>
      </c>
      <c r="AL74" s="42" t="inlineStr">
        <is>
          <t>&lt;b&gt;&lt;i&gt;</t>
        </is>
      </c>
      <c r="AM74" s="42" t="inlineStr">
        <is>
          <t>Governor's 3% + JFAC's 1%</t>
        </is>
      </c>
      <c r="AN74" s="42">
        <f>IF(ISBLANK(AM74),"","&lt;/i&gt;")</f>
        <v/>
      </c>
      <c r="AO74" s="35">
        <f>IF(ISBLANK(AQ74),"","&lt;/b&gt;&lt;br&gt;&lt;br&gt;")</f>
        <v/>
      </c>
      <c r="AP74" s="42">
        <f>IF(ISBLANK(AQ74),"","&lt;b&gt;")</f>
        <v/>
      </c>
      <c r="AQ74" s="47" t="inlineStr">
        <is>
          <t xml:space="preserve">Agency Reduction Plan:&lt;br&gt;Additional </t>
        </is>
      </c>
      <c r="AR74" s="42" t="inlineStr">
        <is>
          <t>1</t>
        </is>
      </c>
      <c r="AS74" s="4">
        <f>IF(ISBLANK(AR74),""," %")</f>
        <v/>
      </c>
      <c r="AT74" s="4">
        <f t="array" ref="AT74">_xlfn.IFS(NOT(ISBLANK(AU74))," (pgs. ",NOT(ISBLANK(AS74))," (pg. ", ISBLANK(AS74), "")</f>
        <v/>
      </c>
      <c r="AU74" s="52" t="inlineStr">
        <is>
          <t>NA</t>
        </is>
      </c>
      <c r="AV74" s="4">
        <f>IF(ISBLANK(AW74),"",", ")</f>
        <v/>
      </c>
      <c r="AW74" s="42" t="n"/>
      <c r="AX74" s="4">
        <f>IF(ISBLANK(AY74),"",",&lt;br&gt;")</f>
        <v/>
      </c>
      <c r="AY74" s="42" t="n"/>
      <c r="AZ74" s="49">
        <f>IF(ISBLANK(AU74),"",")&lt;/b&gt;")</f>
        <v/>
      </c>
      <c r="BA74" s="4">
        <f>IF(ISBLANK(BC74),"","&lt;br&gt;")</f>
        <v/>
      </c>
      <c r="BB74" s="42">
        <f t="array" ref="BB74">IF(ISBLANK(BC74),"",_xlfn.LET(
_xlpm.words,_xlfn.TEXTSPLIT(TRIM(BC74),"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74" s="50" t="n"/>
    </row>
    <row r="75">
      <c r="A75" s="20">
        <f>_xlfn.TEXTJOIN("", TRUE, F75:H75)</f>
        <v/>
      </c>
      <c r="B75" s="21">
        <f>_xlfn.TEXTJOIN("", TRUE, I75:S75)</f>
        <v/>
      </c>
      <c r="C75" s="21">
        <f>IF(ISBLANK(X75),"", _xlfn.TEXTJOIN("",TRUE,T75:Z75))</f>
        <v/>
      </c>
      <c r="D75" s="21">
        <f>IF(ISBLANK(AB75), "", _xlfn.TEXTJOIN("", TRUE, AA75:AC75))</f>
        <v/>
      </c>
      <c r="E75" s="22">
        <f>IF(AU75="NA", _xlfn.TEXTJOIN("", TRUE, AD75:AH75), _xlfn.TEXTJOIN("", TRUE, AD75:AJ75))</f>
        <v/>
      </c>
      <c r="F75" s="42">
        <f>IF(LEFT(G75,4)="FY26","&lt;b&gt;","&lt;i&gt;")</f>
        <v/>
      </c>
      <c r="G75" s="42" t="inlineStr">
        <is>
          <t>FY26 Reduction</t>
        </is>
      </c>
      <c r="H75" s="42">
        <f>IF(LEFT(G75,4)="FY26","&lt;/b&gt;","&lt;/i&gt;")</f>
        <v/>
      </c>
      <c r="I75" s="43" t="inlineStr">
        <is>
          <t>&lt;i&gt;</t>
        </is>
      </c>
      <c r="J75" s="44" t="inlineStr">
        <is>
          <t>General Government</t>
        </is>
      </c>
      <c r="K75" s="44" t="inlineStr">
        <is>
          <t>&lt;/i&gt;</t>
        </is>
      </c>
      <c r="L75" s="4">
        <f>IF(ISBLANK(N75),"","&lt;br&gt;")</f>
        <v/>
      </c>
      <c r="M75" s="42">
        <f>IF(ISBLANK(R75),"&lt;b&gt;","&lt;i&gt;")</f>
        <v/>
      </c>
      <c r="N75" s="42" t="inlineStr">
        <is>
          <t>Office of the Governor</t>
        </is>
      </c>
      <c r="O75" s="42">
        <f>IF(ISBLANK(R75),"&lt;/b&gt;","&lt;/i&gt;")</f>
        <v/>
      </c>
      <c r="P75" s="4">
        <f>IF(ISBLANK(R75),"","&lt;br&gt;")</f>
        <v/>
      </c>
      <c r="Q75" s="42">
        <f>IF(ISBLANK(R75),"","&lt;b&gt;")</f>
        <v/>
      </c>
      <c r="R75" s="42" t="inlineStr">
        <is>
          <t>Wolf Depredation Control Board</t>
        </is>
      </c>
      <c r="S75" s="42">
        <f>IF(ISBLANK(R75),"","&lt;/i&gt;")</f>
        <v/>
      </c>
      <c r="T75" s="43">
        <f>IF(ISBLANK(X75),"",IF(OR(AB75="PASSED",ISBLANK(N75)),"&lt;b&gt;","&lt;i&gt;"))</f>
        <v/>
      </c>
      <c r="U75" s="3">
        <f>IF(ISBLANK(V75),"","&lt;a href='")</f>
        <v/>
      </c>
      <c r="V75" s="39" t="inlineStr">
        <is>
          <t>https://legislature.idaho.gov/sessioninfo/2026/legislation/S1331/</t>
        </is>
      </c>
      <c r="W75" s="17">
        <f>IF(ISBLANK(V75),"","'&gt;")</f>
        <v/>
      </c>
      <c r="X75" s="12" t="inlineStr">
        <is>
          <t>Senate Bill 1331</t>
        </is>
      </c>
      <c r="Y75" s="17">
        <f>IF(ISBLANK(X75),"","&lt;/a&gt;")</f>
        <v/>
      </c>
      <c r="Z75" s="42">
        <f>IF(ISBLANK(X75),"",IF(OR(AB75="PASSED",ISBLANK(N75)),"&lt;/b&gt;","&lt;/i&gt;"))</f>
        <v/>
      </c>
      <c r="AA75" s="43">
        <f>IF(AB75="PASSED","&lt;b&gt;","")</f>
        <v/>
      </c>
      <c r="AB75" s="45" t="inlineStr">
        <is>
          <t>PASSED</t>
        </is>
      </c>
      <c r="AC75" s="43">
        <f>IF(AB75="PASSED","&lt;/b&gt;","")</f>
        <v/>
      </c>
      <c r="AD75" s="43">
        <f>IF(ISBLANK(AE75),"","&lt;b&gt;")</f>
        <v/>
      </c>
      <c r="AE75" s="51" t="inlineStr">
        <is>
          <t>03/06</t>
        </is>
      </c>
      <c r="AF75" s="42">
        <f>IF(ISBLANK(AE75),"",": ")</f>
        <v/>
      </c>
      <c r="AG75" s="42" t="inlineStr">
        <is>
          <t>House Vote 48-22</t>
        </is>
      </c>
      <c r="AH75" s="42">
        <f>IF(ISBLANK(AE75),"","&lt;/b&gt;")</f>
        <v/>
      </c>
      <c r="AI75" s="42" t="inlineStr">
        <is>
          <t>03/02: Senate Vote 18-17&lt;br&gt;02/06: FY26 holdback (-4%)</t>
        </is>
      </c>
      <c r="AJ75" s="42">
        <f>IF(ISBLANK(AI75),"","&lt;br&gt;"&amp;AI75)</f>
        <v/>
      </c>
      <c r="AK75" s="4" t="inlineStr">
        <is>
          <t>&lt;br&gt;</t>
        </is>
      </c>
      <c r="AL75" s="42" t="inlineStr">
        <is>
          <t>&lt;b&gt;&lt;i&gt;</t>
        </is>
      </c>
      <c r="AM75" s="42" t="inlineStr">
        <is>
          <t>Governor's 3% + JFAC's 1%</t>
        </is>
      </c>
      <c r="AN75" s="42">
        <f>IF(ISBLANK(AM75),"","&lt;/i&gt;")</f>
        <v/>
      </c>
      <c r="AO75" s="35">
        <f>IF(ISBLANK(AQ75),"","&lt;/b&gt;&lt;br&gt;&lt;br&gt;")</f>
        <v/>
      </c>
      <c r="AP75" s="42">
        <f>IF(ISBLANK(AQ75),"","&lt;b&gt;")</f>
        <v/>
      </c>
      <c r="AQ75" s="47" t="inlineStr">
        <is>
          <t xml:space="preserve">Agency Reduction Plan:&lt;br&gt;Additional </t>
        </is>
      </c>
      <c r="AR75" s="42" t="inlineStr">
        <is>
          <t>1</t>
        </is>
      </c>
      <c r="AS75" s="4">
        <f>IF(ISBLANK(AR75),""," %")</f>
        <v/>
      </c>
      <c r="AT75" s="4">
        <f t="array" ref="AT75">_xlfn.IFS(NOT(ISBLANK(AU75))," (pgs. ",NOT(ISBLANK(AS75))," (pg. ", ISBLANK(AS75), "")</f>
        <v/>
      </c>
      <c r="AU75" s="52" t="n">
        <v>221</v>
      </c>
      <c r="AV75" s="4">
        <f>IF(ISBLANK(AW75),"",", ")</f>
        <v/>
      </c>
      <c r="AW75" s="42" t="n"/>
      <c r="AX75" s="4">
        <f>IF(ISBLANK(AY75),"",",&lt;br&gt;")</f>
        <v/>
      </c>
      <c r="AY75" s="42" t="n"/>
      <c r="AZ75" s="49">
        <f>IF(ISBLANK(AU75),"",")&lt;/b&gt;")</f>
        <v/>
      </c>
      <c r="BA75" s="4">
        <f>IF(ISBLANK(BC75),"","&lt;br&gt;")</f>
        <v/>
      </c>
      <c r="BB75" s="42">
        <f t="array" ref="BB75">IF(ISBLANK(BC75),"",_xlfn.LET(
_xlpm.words,_xlfn.TEXTSPLIT(TRIM(BC75),"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75" s="50" t="inlineStr">
        <is>
          <t>This reduction would directly decrease funding available for wolf management operations, including depredation inspections by U.S. Wildlife Services and Board-supported projects, and would limit the Board’s ability to maintain readiness and respond during periods of increased depredation, resulting in fewer inspections, longer response times, and delayed management actions when impacts to livestock and wildlife are highest.</t>
        </is>
      </c>
    </row>
    <row r="76">
      <c r="A76" s="20">
        <f>_xlfn.TEXTJOIN("", TRUE, F76:H76)</f>
        <v/>
      </c>
      <c r="B76" s="21">
        <f>_xlfn.TEXTJOIN("", TRUE, I76:S76)</f>
        <v/>
      </c>
      <c r="C76" s="21">
        <f>IF(ISBLANK(X76),"", _xlfn.TEXTJOIN("",TRUE,T76:Z76))</f>
        <v/>
      </c>
      <c r="D76" s="21">
        <f>IF(ISBLANK(AB76), "", _xlfn.TEXTJOIN("", TRUE, AA76:AC76))</f>
        <v/>
      </c>
      <c r="E76" s="22">
        <f>IF(AU76="NA", _xlfn.TEXTJOIN("", TRUE, AD76:AH76), _xlfn.TEXTJOIN("", TRUE, AD76:AJ76))</f>
        <v/>
      </c>
      <c r="F76" s="42">
        <f>IF(LEFT(G76,4)="FY26","&lt;b&gt;","&lt;i&gt;")</f>
        <v/>
      </c>
      <c r="G76" s="42" t="inlineStr">
        <is>
          <t>FY26 Reduction</t>
        </is>
      </c>
      <c r="H76" s="42">
        <f>IF(LEFT(G76,4)="FY26","&lt;/b&gt;","&lt;/i&gt;")</f>
        <v/>
      </c>
      <c r="I76" s="43" t="inlineStr">
        <is>
          <t>&lt;i&gt;</t>
        </is>
      </c>
      <c r="J76" s="44" t="inlineStr">
        <is>
          <t>General Government</t>
        </is>
      </c>
      <c r="K76" s="44" t="inlineStr">
        <is>
          <t>&lt;/i&gt;</t>
        </is>
      </c>
      <c r="L76" s="4">
        <f>IF(ISBLANK(N76),"","&lt;br&gt;")</f>
        <v/>
      </c>
      <c r="M76" s="42">
        <f>IF(ISBLANK(R76),"&lt;b&gt;","&lt;i&gt;")</f>
        <v/>
      </c>
      <c r="N76" s="42" t="inlineStr">
        <is>
          <t>Office of the Governor</t>
        </is>
      </c>
      <c r="O76" s="42">
        <f>IF(ISBLANK(R76),"&lt;/b&gt;","&lt;/i&gt;")</f>
        <v/>
      </c>
      <c r="P76" s="4">
        <f>IF(ISBLANK(R76),"","&lt;br&gt;")</f>
        <v/>
      </c>
      <c r="Q76" s="42">
        <f>IF(ISBLANK(R76),"","&lt;b&gt;")</f>
        <v/>
      </c>
      <c r="R76" s="42" t="inlineStr">
        <is>
          <t>Workforce Development Council</t>
        </is>
      </c>
      <c r="S76" s="42">
        <f>IF(ISBLANK(R76),"","&lt;/i&gt;")</f>
        <v/>
      </c>
      <c r="T76" s="43">
        <f>IF(ISBLANK(X76),"",IF(OR(AB76="PASSED",ISBLANK(N76)),"&lt;b&gt;","&lt;i&gt;"))</f>
        <v/>
      </c>
      <c r="U76" s="3">
        <f>IF(ISBLANK(V76),"","&lt;a href='")</f>
        <v/>
      </c>
      <c r="V76" s="39" t="inlineStr">
        <is>
          <t>https://legislature.idaho.gov/sessioninfo/2026/legislation/S1331/</t>
        </is>
      </c>
      <c r="W76" s="17">
        <f>IF(ISBLANK(V76),"","'&gt;")</f>
        <v/>
      </c>
      <c r="X76" s="12" t="inlineStr">
        <is>
          <t>Senate Bill 1331</t>
        </is>
      </c>
      <c r="Y76" s="17">
        <f>IF(ISBLANK(X76),"","&lt;/a&gt;")</f>
        <v/>
      </c>
      <c r="Z76" s="42">
        <f>IF(ISBLANK(X76),"",IF(OR(AB76="PASSED",ISBLANK(N76)),"&lt;/b&gt;","&lt;/i&gt;"))</f>
        <v/>
      </c>
      <c r="AA76" s="43">
        <f>IF(AB76="PASSED","&lt;b&gt;","")</f>
        <v/>
      </c>
      <c r="AB76" s="45" t="inlineStr">
        <is>
          <t>PASSED</t>
        </is>
      </c>
      <c r="AC76" s="43">
        <f>IF(AB76="PASSED","&lt;/b&gt;","")</f>
        <v/>
      </c>
      <c r="AD76" s="43">
        <f>IF(ISBLANK(AE76),"","&lt;b&gt;")</f>
        <v/>
      </c>
      <c r="AE76" s="51" t="inlineStr">
        <is>
          <t>03/06</t>
        </is>
      </c>
      <c r="AF76" s="42">
        <f>IF(ISBLANK(AE76),"",": ")</f>
        <v/>
      </c>
      <c r="AG76" s="42" t="inlineStr">
        <is>
          <t>House Vote 48-22</t>
        </is>
      </c>
      <c r="AH76" s="42">
        <f>IF(ISBLANK(AE76),"","&lt;/b&gt;")</f>
        <v/>
      </c>
      <c r="AI76" s="42" t="inlineStr">
        <is>
          <t>03/02: Senate Vote 18-17&lt;br&gt;02/06: FY26 holdback (-4%)</t>
        </is>
      </c>
      <c r="AJ76" s="42">
        <f>IF(ISBLANK(AI76),"","&lt;br&gt;"&amp;AI76)</f>
        <v/>
      </c>
      <c r="AK76" s="4" t="inlineStr">
        <is>
          <t>&lt;br&gt;</t>
        </is>
      </c>
      <c r="AL76" s="42" t="inlineStr">
        <is>
          <t>&lt;b&gt;&lt;i&gt;</t>
        </is>
      </c>
      <c r="AM76" s="42" t="inlineStr">
        <is>
          <t>Governor's 3% + JFAC's 1%</t>
        </is>
      </c>
      <c r="AN76" s="42">
        <f>IF(ISBLANK(AM76),"","&lt;/i&gt;")</f>
        <v/>
      </c>
      <c r="AO76" s="35">
        <f>IF(ISBLANK(AQ76),"","&lt;/b&gt;&lt;br&gt;&lt;br&gt;")</f>
        <v/>
      </c>
      <c r="AP76" s="42">
        <f>IF(ISBLANK(AQ76),"","&lt;b&gt;")</f>
        <v/>
      </c>
      <c r="AQ76" s="47" t="inlineStr">
        <is>
          <t xml:space="preserve">Agency Reduction Plan:&lt;br&gt;Additional </t>
        </is>
      </c>
      <c r="AR76" s="42" t="inlineStr">
        <is>
          <t>1</t>
        </is>
      </c>
      <c r="AS76" s="4">
        <f>IF(ISBLANK(AR76),""," %")</f>
        <v/>
      </c>
      <c r="AT76" s="4">
        <f t="array" ref="AT76">_xlfn.IFS(NOT(ISBLANK(AU76))," (pgs. ",NOT(ISBLANK(AS76))," (pg. ", ISBLANK(AS76), "")</f>
        <v/>
      </c>
      <c r="AU76" s="52" t="inlineStr">
        <is>
          <t>NA</t>
        </is>
      </c>
      <c r="AV76" s="4">
        <f>IF(ISBLANK(AW76),"",", ")</f>
        <v/>
      </c>
      <c r="AW76" s="42" t="n"/>
      <c r="AX76" s="4">
        <f>IF(ISBLANK(AY76),"",",&lt;br&gt;")</f>
        <v/>
      </c>
      <c r="AY76" s="42" t="n"/>
      <c r="AZ76" s="49">
        <f>IF(ISBLANK(AU76),"",")&lt;/b&gt;")</f>
        <v/>
      </c>
      <c r="BA76" s="4">
        <f>IF(ISBLANK(BC76),"","&lt;br&gt;")</f>
        <v/>
      </c>
      <c r="BB76" s="42">
        <f t="array" ref="BB76">IF(ISBLANK(BC76),"",_xlfn.LET(
_xlpm.words,_xlfn.TEXTSPLIT(TRIM(BC76),"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76" s="50" t="n"/>
    </row>
    <row r="77">
      <c r="A77" s="20">
        <f>_xlfn.TEXTJOIN("", TRUE, F77:H77)</f>
        <v/>
      </c>
      <c r="B77" s="21">
        <f>_xlfn.TEXTJOIN("", TRUE, I77:S77)</f>
        <v/>
      </c>
      <c r="C77" s="21">
        <f>IF(ISBLANK(X77),"", _xlfn.TEXTJOIN("",TRUE,T77:Z77))</f>
        <v/>
      </c>
      <c r="D77" s="21">
        <f>IF(ISBLANK(AB77), "", _xlfn.TEXTJOIN("", TRUE, AA77:AC77))</f>
        <v/>
      </c>
      <c r="E77" s="22">
        <f>IF(AU77="NA", _xlfn.TEXTJOIN("", TRUE, AD77:AH77), _xlfn.TEXTJOIN("", TRUE, AD77:AJ77))</f>
        <v/>
      </c>
      <c r="F77" s="42">
        <f>IF(LEFT(G77,4)="FY26","&lt;b&gt;","&lt;i&gt;")</f>
        <v/>
      </c>
      <c r="G77" s="42" t="inlineStr">
        <is>
          <t>FY26 Reduction</t>
        </is>
      </c>
      <c r="H77" s="42">
        <f>IF(LEFT(G77,4)="FY26","&lt;/b&gt;","&lt;/i&gt;")</f>
        <v/>
      </c>
      <c r="I77" s="43" t="inlineStr">
        <is>
          <t>&lt;i&gt;</t>
        </is>
      </c>
      <c r="J77" s="44" t="inlineStr">
        <is>
          <t>Health &amp; Human Services</t>
        </is>
      </c>
      <c r="K77" s="44" t="inlineStr">
        <is>
          <t>&lt;/i&gt;</t>
        </is>
      </c>
      <c r="L77" s="4">
        <f>IF(ISBLANK(N77),"","&lt;br&gt;")</f>
        <v/>
      </c>
      <c r="M77" s="42">
        <f>IF(ISBLANK(R77),"&lt;b&gt;","&lt;i&gt;")</f>
        <v/>
      </c>
      <c r="N77" s="42" t="inlineStr">
        <is>
          <t>Dept. of Health &amp; Welfare</t>
        </is>
      </c>
      <c r="O77" s="42">
        <f>IF(ISBLANK(R77),"&lt;/b&gt;","&lt;/i&gt;")</f>
        <v/>
      </c>
      <c r="P77" s="4">
        <f>IF(ISBLANK(R77),"","&lt;br&gt;")</f>
        <v/>
      </c>
      <c r="Q77" s="42">
        <f>IF(ISBLANK(R77),"","&lt;b&gt;")</f>
        <v/>
      </c>
      <c r="R77" s="42" t="inlineStr">
        <is>
          <t>Child Welfare</t>
        </is>
      </c>
      <c r="S77" s="42">
        <f>IF(ISBLANK(R77),"","&lt;/i&gt;")</f>
        <v/>
      </c>
      <c r="T77" s="43">
        <f>IF(ISBLANK(X77),"",IF(OR(AB77="PASSED",ISBLANK(N77)),"&lt;b&gt;","&lt;i&gt;"))</f>
        <v/>
      </c>
      <c r="U77" s="3">
        <f>IF(ISBLANK(V77),"","&lt;a href='")</f>
        <v/>
      </c>
      <c r="V77" s="39" t="inlineStr">
        <is>
          <t>https://legislature.idaho.gov/sessioninfo/2026/legislation/S1331/</t>
        </is>
      </c>
      <c r="W77" s="17">
        <f>IF(ISBLANK(V77),"","'&gt;")</f>
        <v/>
      </c>
      <c r="X77" s="12" t="inlineStr">
        <is>
          <t>Senate Bill 1331</t>
        </is>
      </c>
      <c r="Y77" s="17">
        <f>IF(ISBLANK(X77),"","&lt;/a&gt;")</f>
        <v/>
      </c>
      <c r="Z77" s="42">
        <f>IF(ISBLANK(X77),"",IF(OR(AB77="PASSED",ISBLANK(N77)),"&lt;/b&gt;","&lt;/i&gt;"))</f>
        <v/>
      </c>
      <c r="AA77" s="43">
        <f>IF(AB77="PASSED","&lt;b&gt;","")</f>
        <v/>
      </c>
      <c r="AB77" s="45" t="inlineStr">
        <is>
          <t>PASSED</t>
        </is>
      </c>
      <c r="AC77" s="43">
        <f>IF(AB77="PASSED","&lt;/b&gt;","")</f>
        <v/>
      </c>
      <c r="AD77" s="43">
        <f>IF(ISBLANK(AE77),"","&lt;b&gt;")</f>
        <v/>
      </c>
      <c r="AE77" s="51" t="inlineStr">
        <is>
          <t>03/06</t>
        </is>
      </c>
      <c r="AF77" s="42">
        <f>IF(ISBLANK(AE77),"",": ")</f>
        <v/>
      </c>
      <c r="AG77" s="42" t="inlineStr">
        <is>
          <t>House Vote 48-22</t>
        </is>
      </c>
      <c r="AH77" s="42">
        <f>IF(ISBLANK(AE77),"","&lt;/b&gt;")</f>
        <v/>
      </c>
      <c r="AI77" s="42" t="inlineStr">
        <is>
          <t>03/02: Senate Vote 18-17&lt;br&gt;02/06: FY26 holdback (-4%)</t>
        </is>
      </c>
      <c r="AJ77" s="42">
        <f>IF(ISBLANK(AI77),"","&lt;br&gt;"&amp;AI77)</f>
        <v/>
      </c>
      <c r="AK77" s="4" t="inlineStr">
        <is>
          <t>&lt;br&gt;</t>
        </is>
      </c>
      <c r="AL77" s="42" t="inlineStr">
        <is>
          <t>&lt;b&gt;&lt;i&gt;</t>
        </is>
      </c>
      <c r="AM77" s="42" t="inlineStr">
        <is>
          <t>Governor's 3% + JFAC's 1%</t>
        </is>
      </c>
      <c r="AN77" s="42">
        <f>IF(ISBLANK(AM77),"","&lt;/i&gt;")</f>
        <v/>
      </c>
      <c r="AO77" s="35">
        <f>IF(ISBLANK(AQ77),"","&lt;/b&gt;&lt;br&gt;&lt;br&gt;")</f>
        <v/>
      </c>
      <c r="AP77" s="42">
        <f>IF(ISBLANK(AQ77),"","&lt;b&gt;")</f>
        <v/>
      </c>
      <c r="AQ77" s="47" t="inlineStr">
        <is>
          <t xml:space="preserve">Agency Reduction Plan:&lt;br&gt;Additional </t>
        </is>
      </c>
      <c r="AR77" s="42" t="inlineStr">
        <is>
          <t>1</t>
        </is>
      </c>
      <c r="AS77" s="4">
        <f>IF(ISBLANK(AR77),""," %")</f>
        <v/>
      </c>
      <c r="AT77" s="4">
        <f t="array" ref="AT77">_xlfn.IFS(NOT(ISBLANK(AU77))," (pgs. ",NOT(ISBLANK(AS77))," (pg. ", ISBLANK(AS77), "")</f>
        <v/>
      </c>
      <c r="AU77" s="52" t="n">
        <v>86</v>
      </c>
      <c r="AV77" s="4">
        <f>IF(ISBLANK(AW77),"",", ")</f>
        <v/>
      </c>
      <c r="AW77" s="42" t="n"/>
      <c r="AX77" s="4">
        <f>IF(ISBLANK(AY77),"",",&lt;br&gt;")</f>
        <v/>
      </c>
      <c r="AY77" s="42" t="n"/>
      <c r="AZ77" s="49">
        <f>IF(ISBLANK(AU77),"",")&lt;/b&gt;")</f>
        <v/>
      </c>
      <c r="BA77" s="4">
        <f>IF(ISBLANK(BC77),"","&lt;br&gt;")</f>
        <v/>
      </c>
      <c r="BB77" s="42">
        <f t="array" ref="BB77">IF(ISBLANK(BC77),"",_xlfn.LET(
_xlpm.words,_xlfn.TEXTSPLIT(TRIM(BC77),"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77" s="50" t="inlineStr">
        <is>
          <t>This is OT salary savings generated by temporary vacancies and estimated savings generate based on future fill dates.</t>
        </is>
      </c>
    </row>
    <row r="78">
      <c r="A78" s="20">
        <f>_xlfn.TEXTJOIN("", TRUE, F78:H78)</f>
        <v/>
      </c>
      <c r="B78" s="21">
        <f>_xlfn.TEXTJOIN("", TRUE, I78:S78)</f>
        <v/>
      </c>
      <c r="C78" s="21">
        <f>IF(ISBLANK(X78),"", _xlfn.TEXTJOIN("",TRUE,T78:Z78))</f>
        <v/>
      </c>
      <c r="D78" s="21">
        <f>IF(ISBLANK(AB78), "", _xlfn.TEXTJOIN("", TRUE, AA78:AC78))</f>
        <v/>
      </c>
      <c r="E78" s="22">
        <f>IF(AU78="NA", _xlfn.TEXTJOIN("", TRUE, AD78:AH78), _xlfn.TEXTJOIN("", TRUE, AD78:AJ78))</f>
        <v/>
      </c>
      <c r="F78" s="42">
        <f>IF(LEFT(G78,4)="FY26","&lt;b&gt;","&lt;i&gt;")</f>
        <v/>
      </c>
      <c r="G78" s="42" t="inlineStr">
        <is>
          <t>FY26 Reduction</t>
        </is>
      </c>
      <c r="H78" s="42">
        <f>IF(LEFT(G78,4)="FY26","&lt;/b&gt;","&lt;/i&gt;")</f>
        <v/>
      </c>
      <c r="I78" s="43" t="inlineStr">
        <is>
          <t>&lt;i&gt;</t>
        </is>
      </c>
      <c r="J78" s="44" t="inlineStr">
        <is>
          <t>Health &amp; Human Services</t>
        </is>
      </c>
      <c r="K78" s="44" t="inlineStr">
        <is>
          <t>&lt;/i&gt;</t>
        </is>
      </c>
      <c r="L78" s="4">
        <f>IF(ISBLANK(N78),"","&lt;br&gt;")</f>
        <v/>
      </c>
      <c r="M78" s="42">
        <f>IF(ISBLANK(R78),"&lt;b&gt;","&lt;i&gt;")</f>
        <v/>
      </c>
      <c r="N78" s="42" t="inlineStr">
        <is>
          <t>Dept. of Health &amp; Welfare</t>
        </is>
      </c>
      <c r="O78" s="42">
        <f>IF(ISBLANK(R78),"&lt;/b&gt;","&lt;/i&gt;")</f>
        <v/>
      </c>
      <c r="P78" s="4">
        <f>IF(ISBLANK(R78),"","&lt;br&gt;")</f>
        <v/>
      </c>
      <c r="Q78" s="42">
        <f>IF(ISBLANK(R78),"","&lt;b&gt;")</f>
        <v/>
      </c>
      <c r="R78" s="42" t="inlineStr">
        <is>
          <t>Div. of Medicaid</t>
        </is>
      </c>
      <c r="S78" s="42">
        <f>IF(ISBLANK(R78),"","&lt;/i&gt;")</f>
        <v/>
      </c>
      <c r="T78" s="43">
        <f>IF(ISBLANK(X78),"",IF(OR(AB78="PASSED",ISBLANK(N78)),"&lt;b&gt;","&lt;i&gt;"))</f>
        <v/>
      </c>
      <c r="U78" s="3">
        <f>IF(ISBLANK(V78),"","&lt;a href='")</f>
        <v/>
      </c>
      <c r="V78" s="39" t="inlineStr">
        <is>
          <t>https://legislature.idaho.gov/sessioninfo/2026/legislation/S1331/</t>
        </is>
      </c>
      <c r="W78" s="17">
        <f>IF(ISBLANK(V78),"","'&gt;")</f>
        <v/>
      </c>
      <c r="X78" s="12" t="inlineStr">
        <is>
          <t>Senate Bill 1331</t>
        </is>
      </c>
      <c r="Y78" s="17">
        <f>IF(ISBLANK(X78),"","&lt;/a&gt;")</f>
        <v/>
      </c>
      <c r="Z78" s="42">
        <f>IF(ISBLANK(X78),"",IF(OR(AB78="PASSED",ISBLANK(N78)),"&lt;/b&gt;","&lt;/i&gt;"))</f>
        <v/>
      </c>
      <c r="AA78" s="43">
        <f>IF(AB78="PASSED","&lt;b&gt;","")</f>
        <v/>
      </c>
      <c r="AB78" s="45" t="inlineStr">
        <is>
          <t>PASSED</t>
        </is>
      </c>
      <c r="AC78" s="43">
        <f>IF(AB78="PASSED","&lt;/b&gt;","")</f>
        <v/>
      </c>
      <c r="AD78" s="43">
        <f>IF(ISBLANK(AE78),"","&lt;b&gt;")</f>
        <v/>
      </c>
      <c r="AE78" s="51" t="inlineStr">
        <is>
          <t>03/06</t>
        </is>
      </c>
      <c r="AF78" s="42">
        <f>IF(ISBLANK(AE78),"",": ")</f>
        <v/>
      </c>
      <c r="AG78" s="42" t="inlineStr">
        <is>
          <t>House Vote 48-22</t>
        </is>
      </c>
      <c r="AH78" s="42">
        <f>IF(ISBLANK(AE78),"","&lt;/b&gt;")</f>
        <v/>
      </c>
      <c r="AI78" s="42" t="inlineStr">
        <is>
          <t>03/02: Senate Vote 18-17&lt;br&gt;02/06: FY26 holdback (-4%)</t>
        </is>
      </c>
      <c r="AJ78" s="42">
        <f>IF(ISBLANK(AI78),"","&lt;br&gt;"&amp;AI78)</f>
        <v/>
      </c>
      <c r="AK78" s="4" t="inlineStr">
        <is>
          <t>&lt;br&gt;</t>
        </is>
      </c>
      <c r="AL78" s="42" t="inlineStr">
        <is>
          <t>&lt;b&gt;&lt;i&gt;</t>
        </is>
      </c>
      <c r="AM78" s="42" t="inlineStr">
        <is>
          <t>Medicaid program excluded &lt;br&gt;from additional reduction</t>
        </is>
      </c>
      <c r="AN78" s="42">
        <f>IF(ISBLANK(AM78),"","&lt;/i&gt;")</f>
        <v/>
      </c>
      <c r="AO78" s="35">
        <f>IF(ISBLANK(AQ78),"","&lt;/b&gt;&lt;br&gt;&lt;br&gt;")</f>
        <v/>
      </c>
      <c r="AP78" s="42">
        <f>IF(ISBLANK(AQ78),"","&lt;b&gt;")</f>
        <v/>
      </c>
      <c r="AQ78" s="47" t="inlineStr">
        <is>
          <t xml:space="preserve">Agency Reduction Plan:&lt;br&gt;Additional </t>
        </is>
      </c>
      <c r="AR78" s="42" t="inlineStr">
        <is>
          <t>1</t>
        </is>
      </c>
      <c r="AS78" s="4">
        <f>IF(ISBLANK(AR78),""," %")</f>
        <v/>
      </c>
      <c r="AT78" s="4">
        <f t="array" ref="AT78">_xlfn.IFS(NOT(ISBLANK(AU78))," (pgs. ",NOT(ISBLANK(AS78))," (pg. ", ISBLANK(AS78), "")</f>
        <v/>
      </c>
      <c r="AU78" s="52" t="n">
        <v>83</v>
      </c>
      <c r="AV78" s="4">
        <f>IF(ISBLANK(AW78),"",", ")</f>
        <v/>
      </c>
      <c r="AW78" s="42" t="n"/>
      <c r="AX78" s="4">
        <f>IF(ISBLANK(AY78),"",",&lt;br&gt;")</f>
        <v/>
      </c>
      <c r="AY78" s="42" t="n"/>
      <c r="AZ78" s="49">
        <f>IF(ISBLANK(AU78),"",")&lt;/b&gt;")</f>
        <v/>
      </c>
      <c r="BA78" s="4">
        <f>IF(ISBLANK(BC78),"","&lt;br&gt;")</f>
        <v/>
      </c>
      <c r="BB78" s="42">
        <f t="array" ref="BB78">IF(ISBLANK(BC78),"",_xlfn.LET(
_xlpm.words,_xlfn.TEXTSPLIT(TRIM(BC78),"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78" s="50" t="n"/>
    </row>
    <row r="79">
      <c r="A79" s="20">
        <f>_xlfn.TEXTJOIN("", TRUE, F79:H79)</f>
        <v/>
      </c>
      <c r="B79" s="21">
        <f>_xlfn.TEXTJOIN("", TRUE, I79:S79)</f>
        <v/>
      </c>
      <c r="C79" s="21">
        <f>IF(ISBLANK(X79),"", _xlfn.TEXTJOIN("",TRUE,T79:Z79))</f>
        <v/>
      </c>
      <c r="D79" s="21">
        <f>IF(ISBLANK(AB79), "", _xlfn.TEXTJOIN("", TRUE, AA79:AC79))</f>
        <v/>
      </c>
      <c r="E79" s="22">
        <f>IF(AU79="NA", _xlfn.TEXTJOIN("", TRUE, AD79:AH79), _xlfn.TEXTJOIN("", TRUE, AD79:AJ79))</f>
        <v/>
      </c>
      <c r="F79" s="42">
        <f>IF(LEFT(G79,4)="FY26","&lt;b&gt;","&lt;i&gt;")</f>
        <v/>
      </c>
      <c r="G79" s="42" t="inlineStr">
        <is>
          <t>FY26 Reduction</t>
        </is>
      </c>
      <c r="H79" s="42">
        <f>IF(LEFT(G79,4)="FY26","&lt;/b&gt;","&lt;/i&gt;")</f>
        <v/>
      </c>
      <c r="I79" s="43" t="inlineStr">
        <is>
          <t>&lt;i&gt;</t>
        </is>
      </c>
      <c r="J79" s="44" t="inlineStr">
        <is>
          <t>Health &amp; Human Services</t>
        </is>
      </c>
      <c r="K79" s="44" t="inlineStr">
        <is>
          <t>&lt;/i&gt;</t>
        </is>
      </c>
      <c r="L79" s="4">
        <f>IF(ISBLANK(N79),"","&lt;br&gt;")</f>
        <v/>
      </c>
      <c r="M79" s="42">
        <f>IF(ISBLANK(R79),"&lt;b&gt;","&lt;i&gt;")</f>
        <v/>
      </c>
      <c r="N79" s="42" t="inlineStr">
        <is>
          <t>Dept. of Health &amp; Welfare</t>
        </is>
      </c>
      <c r="O79" s="42">
        <f>IF(ISBLANK(R79),"&lt;/b&gt;","&lt;/i&gt;")</f>
        <v/>
      </c>
      <c r="P79" s="4">
        <f>IF(ISBLANK(R79),"","&lt;br&gt;")</f>
        <v/>
      </c>
      <c r="Q79" s="42">
        <f>IF(ISBLANK(R79),"","&lt;b&gt;")</f>
        <v/>
      </c>
      <c r="R79" s="42" t="inlineStr">
        <is>
          <t>Div. of Welfare</t>
        </is>
      </c>
      <c r="S79" s="42">
        <f>IF(ISBLANK(R79),"","&lt;/i&gt;")</f>
        <v/>
      </c>
      <c r="T79" s="43">
        <f>IF(ISBLANK(X79),"",IF(OR(AB79="PASSED",ISBLANK(N79)),"&lt;b&gt;","&lt;i&gt;"))</f>
        <v/>
      </c>
      <c r="U79" s="3">
        <f>IF(ISBLANK(V79),"","&lt;a href='")</f>
        <v/>
      </c>
      <c r="V79" s="39" t="inlineStr">
        <is>
          <t>https://legislature.idaho.gov/sessioninfo/2026/legislation/S1331/</t>
        </is>
      </c>
      <c r="W79" s="17">
        <f>IF(ISBLANK(V79),"","'&gt;")</f>
        <v/>
      </c>
      <c r="X79" s="12" t="inlineStr">
        <is>
          <t>Senate Bill 1331</t>
        </is>
      </c>
      <c r="Y79" s="17">
        <f>IF(ISBLANK(X79),"","&lt;/a&gt;")</f>
        <v/>
      </c>
      <c r="Z79" s="42">
        <f>IF(ISBLANK(X79),"",IF(OR(AB79="PASSED",ISBLANK(N79)),"&lt;/b&gt;","&lt;/i&gt;"))</f>
        <v/>
      </c>
      <c r="AA79" s="43">
        <f>IF(AB79="PASSED","&lt;b&gt;","")</f>
        <v/>
      </c>
      <c r="AB79" s="45" t="inlineStr">
        <is>
          <t>PASSED</t>
        </is>
      </c>
      <c r="AC79" s="43">
        <f>IF(AB79="PASSED","&lt;/b&gt;","")</f>
        <v/>
      </c>
      <c r="AD79" s="43">
        <f>IF(ISBLANK(AE79),"","&lt;b&gt;")</f>
        <v/>
      </c>
      <c r="AE79" s="51" t="inlineStr">
        <is>
          <t>03/06</t>
        </is>
      </c>
      <c r="AF79" s="42">
        <f>IF(ISBLANK(AE79),"",": ")</f>
        <v/>
      </c>
      <c r="AG79" s="42" t="inlineStr">
        <is>
          <t>House Vote 48-22</t>
        </is>
      </c>
      <c r="AH79" s="42">
        <f>IF(ISBLANK(AE79),"","&lt;/b&gt;")</f>
        <v/>
      </c>
      <c r="AI79" s="42" t="inlineStr">
        <is>
          <t>03/02: Senate Vote 18-17&lt;br&gt;02/06: FY26 holdback (-4%)</t>
        </is>
      </c>
      <c r="AJ79" s="42">
        <f>IF(ISBLANK(AI79),"","&lt;br&gt;"&amp;AI79)</f>
        <v/>
      </c>
      <c r="AK79" s="4" t="inlineStr">
        <is>
          <t>&lt;br&gt;</t>
        </is>
      </c>
      <c r="AL79" s="42" t="inlineStr">
        <is>
          <t>&lt;b&gt;&lt;i&gt;</t>
        </is>
      </c>
      <c r="AM79" s="42" t="inlineStr">
        <is>
          <t>Governor's 3% + JFAC's 1%</t>
        </is>
      </c>
      <c r="AN79" s="42">
        <f>IF(ISBLANK(AM79),"","&lt;/i&gt;")</f>
        <v/>
      </c>
      <c r="AO79" s="35">
        <f>IF(ISBLANK(AQ79),"","&lt;/b&gt;&lt;br&gt;&lt;br&gt;")</f>
        <v/>
      </c>
      <c r="AP79" s="42">
        <f>IF(ISBLANK(AQ79),"","&lt;b&gt;")</f>
        <v/>
      </c>
      <c r="AQ79" s="47" t="inlineStr">
        <is>
          <t xml:space="preserve">Agency Reduction Plan:&lt;br&gt;Additional </t>
        </is>
      </c>
      <c r="AR79" s="42" t="inlineStr">
        <is>
          <t>1</t>
        </is>
      </c>
      <c r="AS79" s="4">
        <f>IF(ISBLANK(AR79),""," %")</f>
        <v/>
      </c>
      <c r="AT79" s="4">
        <f t="array" ref="AT79">_xlfn.IFS(NOT(ISBLANK(AU79))," (pgs. ",NOT(ISBLANK(AS79))," (pg. ", ISBLANK(AS79), "")</f>
        <v/>
      </c>
      <c r="AU79" s="52" t="n">
        <v>86</v>
      </c>
      <c r="AV79" s="4">
        <f>IF(ISBLANK(AW79),"",", ")</f>
        <v/>
      </c>
      <c r="AW79" s="42" t="n"/>
      <c r="AX79" s="4">
        <f>IF(ISBLANK(AY79),"",",&lt;br&gt;")</f>
        <v/>
      </c>
      <c r="AY79" s="42" t="n"/>
      <c r="AZ79" s="49">
        <f>IF(ISBLANK(AU79),"",")&lt;/b&gt;")</f>
        <v/>
      </c>
      <c r="BA79" s="4">
        <f>IF(ISBLANK(BC79),"","&lt;br&gt;")</f>
        <v/>
      </c>
      <c r="BB79" s="42">
        <f t="array" ref="BB79">IF(ISBLANK(BC79),"",_xlfn.LET(
_xlpm.words,_xlfn.TEXTSPLIT(TRIM(BC79),"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79" s="50" t="inlineStr">
        <is>
          <t>This is OT salary savings generated by temporary vacancies and estimated savings generate based on future fill dates.</t>
        </is>
      </c>
    </row>
    <row r="80">
      <c r="A80" s="20">
        <f>_xlfn.TEXTJOIN("", TRUE, F80:H80)</f>
        <v/>
      </c>
      <c r="B80" s="21">
        <f>_xlfn.TEXTJOIN("", TRUE, I80:S80)</f>
        <v/>
      </c>
      <c r="C80" s="21">
        <f>IF(ISBLANK(X80),"", _xlfn.TEXTJOIN("",TRUE,T80:Z80))</f>
        <v/>
      </c>
      <c r="D80" s="21">
        <f>IF(ISBLANK(AB80), "", _xlfn.TEXTJOIN("", TRUE, AA80:AC80))</f>
        <v/>
      </c>
      <c r="E80" s="22">
        <f>IF(AU80="NA", _xlfn.TEXTJOIN("", TRUE, AD80:AH80), _xlfn.TEXTJOIN("", TRUE, AD80:AJ80))</f>
        <v/>
      </c>
      <c r="F80" s="42">
        <f>IF(LEFT(G80,4)="FY26","&lt;b&gt;","&lt;i&gt;")</f>
        <v/>
      </c>
      <c r="G80" s="42" t="inlineStr">
        <is>
          <t>FY26 Reduction</t>
        </is>
      </c>
      <c r="H80" s="42">
        <f>IF(LEFT(G80,4)="FY26","&lt;/b&gt;","&lt;/i&gt;")</f>
        <v/>
      </c>
      <c r="I80" s="43" t="inlineStr">
        <is>
          <t>&lt;i&gt;</t>
        </is>
      </c>
      <c r="J80" s="44" t="inlineStr">
        <is>
          <t>Health &amp; Human Services</t>
        </is>
      </c>
      <c r="K80" s="44" t="inlineStr">
        <is>
          <t>&lt;/i&gt;</t>
        </is>
      </c>
      <c r="L80" s="4">
        <f>IF(ISBLANK(N80),"","&lt;br&gt;")</f>
        <v/>
      </c>
      <c r="M80" s="42">
        <f>IF(ISBLANK(R80),"&lt;b&gt;","&lt;i&gt;")</f>
        <v/>
      </c>
      <c r="N80" s="42" t="inlineStr">
        <is>
          <t>Dept. of Health &amp; Welfare</t>
        </is>
      </c>
      <c r="O80" s="42">
        <f>IF(ISBLANK(R80),"&lt;/b&gt;","&lt;/i&gt;")</f>
        <v/>
      </c>
      <c r="P80" s="4">
        <f>IF(ISBLANK(R80),"","&lt;br&gt;")</f>
        <v/>
      </c>
      <c r="Q80" s="42">
        <f>IF(ISBLANK(R80),"","&lt;b&gt;")</f>
        <v/>
      </c>
      <c r="R80" s="42" t="inlineStr">
        <is>
          <t>Independent Councils</t>
        </is>
      </c>
      <c r="S80" s="42">
        <f>IF(ISBLANK(R80),"","&lt;/i&gt;")</f>
        <v/>
      </c>
      <c r="T80" s="43">
        <f>IF(ISBLANK(X80),"",IF(OR(AB80="PASSED",ISBLANK(N80)),"&lt;b&gt;","&lt;i&gt;"))</f>
        <v/>
      </c>
      <c r="U80" s="3">
        <f>IF(ISBLANK(V80),"","&lt;a href='")</f>
        <v/>
      </c>
      <c r="V80" s="39" t="inlineStr">
        <is>
          <t>https://legislature.idaho.gov/sessioninfo/2026/legislation/S1331/</t>
        </is>
      </c>
      <c r="W80" s="17">
        <f>IF(ISBLANK(V80),"","'&gt;")</f>
        <v/>
      </c>
      <c r="X80" s="12" t="inlineStr">
        <is>
          <t>Senate Bill 1331</t>
        </is>
      </c>
      <c r="Y80" s="17">
        <f>IF(ISBLANK(X80),"","&lt;/a&gt;")</f>
        <v/>
      </c>
      <c r="Z80" s="42">
        <f>IF(ISBLANK(X80),"",IF(OR(AB80="PASSED",ISBLANK(N80)),"&lt;/b&gt;","&lt;/i&gt;"))</f>
        <v/>
      </c>
      <c r="AA80" s="43">
        <f>IF(AB80="PASSED","&lt;b&gt;","")</f>
        <v/>
      </c>
      <c r="AB80" s="45" t="inlineStr">
        <is>
          <t>PASSED</t>
        </is>
      </c>
      <c r="AC80" s="43">
        <f>IF(AB80="PASSED","&lt;/b&gt;","")</f>
        <v/>
      </c>
      <c r="AD80" s="43">
        <f>IF(ISBLANK(AE80),"","&lt;b&gt;")</f>
        <v/>
      </c>
      <c r="AE80" s="51" t="inlineStr">
        <is>
          <t>03/06</t>
        </is>
      </c>
      <c r="AF80" s="42">
        <f>IF(ISBLANK(AE80),"",": ")</f>
        <v/>
      </c>
      <c r="AG80" s="42" t="inlineStr">
        <is>
          <t>House Vote 48-22</t>
        </is>
      </c>
      <c r="AH80" s="42">
        <f>IF(ISBLANK(AE80),"","&lt;/b&gt;")</f>
        <v/>
      </c>
      <c r="AI80" s="42" t="inlineStr">
        <is>
          <t>03/02: Senate Vote 18-17&lt;br&gt;02/06: FY26 holdback (-4%)</t>
        </is>
      </c>
      <c r="AJ80" s="42">
        <f>IF(ISBLANK(AI80),"","&lt;br&gt;"&amp;AI80)</f>
        <v/>
      </c>
      <c r="AK80" s="4" t="inlineStr">
        <is>
          <t>&lt;br&gt;</t>
        </is>
      </c>
      <c r="AL80" s="42" t="inlineStr">
        <is>
          <t>&lt;b&gt;&lt;i&gt;</t>
        </is>
      </c>
      <c r="AM80" s="42" t="inlineStr">
        <is>
          <t>Governor's 3% + JFAC's 1%</t>
        </is>
      </c>
      <c r="AN80" s="42">
        <f>IF(ISBLANK(AM80),"","&lt;/i&gt;")</f>
        <v/>
      </c>
      <c r="AO80" s="35">
        <f>IF(ISBLANK(AQ80),"","&lt;/b&gt;&lt;br&gt;&lt;br&gt;")</f>
        <v/>
      </c>
      <c r="AP80" s="42">
        <f>IF(ISBLANK(AQ80),"","&lt;b&gt;")</f>
        <v/>
      </c>
      <c r="AQ80" s="47" t="inlineStr">
        <is>
          <t xml:space="preserve">Agency Reduction Plan:&lt;br&gt;Additional </t>
        </is>
      </c>
      <c r="AR80" s="42" t="inlineStr">
        <is>
          <t>1</t>
        </is>
      </c>
      <c r="AS80" s="4">
        <f>IF(ISBLANK(AR80),""," %")</f>
        <v/>
      </c>
      <c r="AT80" s="4">
        <f t="array" ref="AT80">_xlfn.IFS(NOT(ISBLANK(AU80))," (pgs. ",NOT(ISBLANK(AS80))," (pg. ", ISBLANK(AS80), "")</f>
        <v/>
      </c>
      <c r="AU80" s="52" t="n">
        <v>86</v>
      </c>
      <c r="AV80" s="4">
        <f>IF(ISBLANK(AW80),"",", ")</f>
        <v/>
      </c>
      <c r="AW80" s="42" t="n"/>
      <c r="AX80" s="4">
        <f>IF(ISBLANK(AY80),"",",&lt;br&gt;")</f>
        <v/>
      </c>
      <c r="AY80" s="42" t="n"/>
      <c r="AZ80" s="49">
        <f>IF(ISBLANK(AU80),"",")&lt;/b&gt;")</f>
        <v/>
      </c>
      <c r="BA80" s="4">
        <f>IF(ISBLANK(BC80),"","&lt;br&gt;")</f>
        <v/>
      </c>
      <c r="BB80" s="42">
        <f t="array" ref="BB80">IF(ISBLANK(BC80),"",_xlfn.LET(
_xlpm.words,_xlfn.TEXTSPLIT(TRIM(BC80),"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80" s="50" t="inlineStr">
        <is>
          <t>This is OT salary savings generated by temporary vacancies and estimated savings generate based on future fill dates.</t>
        </is>
      </c>
    </row>
    <row r="81">
      <c r="A81" s="20">
        <f>_xlfn.TEXTJOIN("", TRUE, F81:H81)</f>
        <v/>
      </c>
      <c r="B81" s="21">
        <f>_xlfn.TEXTJOIN("", TRUE, I81:S81)</f>
        <v/>
      </c>
      <c r="C81" s="21">
        <f>IF(ISBLANK(X81),"", _xlfn.TEXTJOIN("",TRUE,T81:Z81))</f>
        <v/>
      </c>
      <c r="D81" s="21">
        <f>IF(ISBLANK(AB81), "", _xlfn.TEXTJOIN("", TRUE, AA81:AC81))</f>
        <v/>
      </c>
      <c r="E81" s="22">
        <f>IF(AU81="NA", _xlfn.TEXTJOIN("", TRUE, AD81:AH81), _xlfn.TEXTJOIN("", TRUE, AD81:AJ81))</f>
        <v/>
      </c>
      <c r="F81" s="42">
        <f>IF(LEFT(G81,4)="FY26","&lt;b&gt;","&lt;i&gt;")</f>
        <v/>
      </c>
      <c r="G81" s="42" t="inlineStr">
        <is>
          <t>FY26 Reduction</t>
        </is>
      </c>
      <c r="H81" s="42">
        <f>IF(LEFT(G81,4)="FY26","&lt;/b&gt;","&lt;/i&gt;")</f>
        <v/>
      </c>
      <c r="I81" s="43" t="inlineStr">
        <is>
          <t>&lt;i&gt;</t>
        </is>
      </c>
      <c r="J81" s="44" t="inlineStr">
        <is>
          <t>Health &amp; Human Services</t>
        </is>
      </c>
      <c r="K81" s="44" t="inlineStr">
        <is>
          <t>&lt;/i&gt;</t>
        </is>
      </c>
      <c r="L81" s="4">
        <f>IF(ISBLANK(N81),"","&lt;br&gt;")</f>
        <v/>
      </c>
      <c r="M81" s="42">
        <f>IF(ISBLANK(R81),"&lt;b&gt;","&lt;i&gt;")</f>
        <v/>
      </c>
      <c r="N81" s="42" t="inlineStr">
        <is>
          <t>Dept. of Health &amp; Welfare</t>
        </is>
      </c>
      <c r="O81" s="42">
        <f>IF(ISBLANK(R81),"&lt;/b&gt;","&lt;/i&gt;")</f>
        <v/>
      </c>
      <c r="P81" s="4">
        <f>IF(ISBLANK(R81),"","&lt;br&gt;")</f>
        <v/>
      </c>
      <c r="Q81" s="42">
        <f>IF(ISBLANK(R81),"","&lt;b&gt;")</f>
        <v/>
      </c>
      <c r="R81" s="42" t="inlineStr">
        <is>
          <t>Indirect Support Services</t>
        </is>
      </c>
      <c r="S81" s="42">
        <f>IF(ISBLANK(R81),"","&lt;/i&gt;")</f>
        <v/>
      </c>
      <c r="T81" s="43">
        <f>IF(ISBLANK(X81),"",IF(OR(AB81="PASSED",ISBLANK(N81)),"&lt;b&gt;","&lt;i&gt;"))</f>
        <v/>
      </c>
      <c r="U81" s="3">
        <f>IF(ISBLANK(V81),"","&lt;a href='")</f>
        <v/>
      </c>
      <c r="V81" s="39" t="inlineStr">
        <is>
          <t>https://legislature.idaho.gov/sessioninfo/2026/legislation/S1331/</t>
        </is>
      </c>
      <c r="W81" s="17">
        <f>IF(ISBLANK(V81),"","'&gt;")</f>
        <v/>
      </c>
      <c r="X81" s="12" t="inlineStr">
        <is>
          <t>Senate Bill 1331</t>
        </is>
      </c>
      <c r="Y81" s="17">
        <f>IF(ISBLANK(X81),"","&lt;/a&gt;")</f>
        <v/>
      </c>
      <c r="Z81" s="42">
        <f>IF(ISBLANK(X81),"",IF(OR(AB81="PASSED",ISBLANK(N81)),"&lt;/b&gt;","&lt;/i&gt;"))</f>
        <v/>
      </c>
      <c r="AA81" s="43">
        <f>IF(AB81="PASSED","&lt;b&gt;","")</f>
        <v/>
      </c>
      <c r="AB81" s="45" t="inlineStr">
        <is>
          <t>PASSED</t>
        </is>
      </c>
      <c r="AC81" s="43">
        <f>IF(AB81="PASSED","&lt;/b&gt;","")</f>
        <v/>
      </c>
      <c r="AD81" s="43">
        <f>IF(ISBLANK(AE81),"","&lt;b&gt;")</f>
        <v/>
      </c>
      <c r="AE81" s="51" t="inlineStr">
        <is>
          <t>03/06</t>
        </is>
      </c>
      <c r="AF81" s="42">
        <f>IF(ISBLANK(AE81),"",": ")</f>
        <v/>
      </c>
      <c r="AG81" s="42" t="inlineStr">
        <is>
          <t>House Vote 48-22</t>
        </is>
      </c>
      <c r="AH81" s="42">
        <f>IF(ISBLANK(AE81),"","&lt;/b&gt;")</f>
        <v/>
      </c>
      <c r="AI81" s="42" t="inlineStr">
        <is>
          <t>03/02: Senate Vote 18-17&lt;br&gt;02/06: FY26 holdback (-4%)</t>
        </is>
      </c>
      <c r="AJ81" s="42">
        <f>IF(ISBLANK(AI81),"","&lt;br&gt;"&amp;AI81)</f>
        <v/>
      </c>
      <c r="AK81" s="4" t="inlineStr">
        <is>
          <t>&lt;br&gt;</t>
        </is>
      </c>
      <c r="AL81" s="42" t="inlineStr">
        <is>
          <t>&lt;b&gt;&lt;i&gt;</t>
        </is>
      </c>
      <c r="AM81" s="42" t="inlineStr">
        <is>
          <t>Governor's 3% + JFAC's 1%</t>
        </is>
      </c>
      <c r="AN81" s="42">
        <f>IF(ISBLANK(AM81),"","&lt;/i&gt;")</f>
        <v/>
      </c>
      <c r="AO81" s="35">
        <f>IF(ISBLANK(AQ81),"","&lt;/b&gt;&lt;br&gt;&lt;br&gt;")</f>
        <v/>
      </c>
      <c r="AP81" s="42">
        <f>IF(ISBLANK(AQ81),"","&lt;b&gt;")</f>
        <v/>
      </c>
      <c r="AQ81" s="47" t="inlineStr">
        <is>
          <t xml:space="preserve">Agency Reduction Plan:&lt;br&gt;Additional </t>
        </is>
      </c>
      <c r="AR81" s="42" t="inlineStr">
        <is>
          <t>1</t>
        </is>
      </c>
      <c r="AS81" s="4">
        <f>IF(ISBLANK(AR81),""," %")</f>
        <v/>
      </c>
      <c r="AT81" s="4">
        <f t="array" ref="AT81">_xlfn.IFS(NOT(ISBLANK(AU81))," (pgs. ",NOT(ISBLANK(AS81))," (pg. ", ISBLANK(AS81), "")</f>
        <v/>
      </c>
      <c r="AU81" s="52" t="n">
        <v>86</v>
      </c>
      <c r="AV81" s="4">
        <f>IF(ISBLANK(AW81),"",", ")</f>
        <v/>
      </c>
      <c r="AW81" s="42" t="n"/>
      <c r="AX81" s="4">
        <f>IF(ISBLANK(AY81),"",",&lt;br&gt;")</f>
        <v/>
      </c>
      <c r="AY81" s="42" t="n"/>
      <c r="AZ81" s="49">
        <f>IF(ISBLANK(AU81),"",")&lt;/b&gt;")</f>
        <v/>
      </c>
      <c r="BA81" s="4">
        <f>IF(ISBLANK(BC81),"","&lt;br&gt;")</f>
        <v/>
      </c>
      <c r="BB81" s="42">
        <f t="array" ref="BB81">IF(ISBLANK(BC81),"",_xlfn.LET(
_xlpm.words,_xlfn.TEXTSPLIT(TRIM(BC81),"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81" s="50" t="inlineStr">
        <is>
          <t>This is OT salary savings generated by temporary vacancies and estimated savings generate based on future fill dates.</t>
        </is>
      </c>
    </row>
    <row r="82">
      <c r="A82" s="20">
        <f>_xlfn.TEXTJOIN("", TRUE, F82:H82)</f>
        <v/>
      </c>
      <c r="B82" s="21">
        <f>_xlfn.TEXTJOIN("", TRUE, I82:S82)</f>
        <v/>
      </c>
      <c r="C82" s="21">
        <f>IF(ISBLANK(X82),"", _xlfn.TEXTJOIN("",TRUE,T82:Z82))</f>
        <v/>
      </c>
      <c r="D82" s="21">
        <f>IF(ISBLANK(AB82), "", _xlfn.TEXTJOIN("", TRUE, AA82:AC82))</f>
        <v/>
      </c>
      <c r="E82" s="22">
        <f>IF(AU82="NA", _xlfn.TEXTJOIN("", TRUE, AD82:AH82), _xlfn.TEXTJOIN("", TRUE, AD82:AJ82))</f>
        <v/>
      </c>
      <c r="F82" s="42">
        <f>IF(LEFT(G82,4)="FY26","&lt;b&gt;","&lt;i&gt;")</f>
        <v/>
      </c>
      <c r="G82" s="42" t="inlineStr">
        <is>
          <t>FY26 Reduction</t>
        </is>
      </c>
      <c r="H82" s="42">
        <f>IF(LEFT(G82,4)="FY26","&lt;/b&gt;","&lt;/i&gt;")</f>
        <v/>
      </c>
      <c r="I82" s="43" t="inlineStr">
        <is>
          <t>&lt;i&gt;</t>
        </is>
      </c>
      <c r="J82" s="44" t="inlineStr">
        <is>
          <t>Health &amp; Human Services</t>
        </is>
      </c>
      <c r="K82" s="44" t="inlineStr">
        <is>
          <t>&lt;/i&gt;</t>
        </is>
      </c>
      <c r="L82" s="4">
        <f>IF(ISBLANK(N82),"","&lt;br&gt;")</f>
        <v/>
      </c>
      <c r="M82" s="42">
        <f>IF(ISBLANK(R82),"&lt;b&gt;","&lt;i&gt;")</f>
        <v/>
      </c>
      <c r="N82" s="42" t="inlineStr">
        <is>
          <t>Dept. of Health &amp; Welfare</t>
        </is>
      </c>
      <c r="O82" s="42">
        <f>IF(ISBLANK(R82),"&lt;/b&gt;","&lt;/i&gt;")</f>
        <v/>
      </c>
      <c r="P82" s="4">
        <f>IF(ISBLANK(R82),"","&lt;br&gt;")</f>
        <v/>
      </c>
      <c r="Q82" s="42">
        <f>IF(ISBLANK(R82),"","&lt;b&gt;")</f>
        <v/>
      </c>
      <c r="R82" s="42" t="inlineStr">
        <is>
          <t>Licensing &amp; Certification</t>
        </is>
      </c>
      <c r="S82" s="42">
        <f>IF(ISBLANK(R82),"","&lt;/i&gt;")</f>
        <v/>
      </c>
      <c r="T82" s="43">
        <f>IF(ISBLANK(X82),"",IF(OR(AB82="PASSED",ISBLANK(N82)),"&lt;b&gt;","&lt;i&gt;"))</f>
        <v/>
      </c>
      <c r="U82" s="3">
        <f>IF(ISBLANK(V82),"","&lt;a href='")</f>
        <v/>
      </c>
      <c r="V82" s="39" t="inlineStr">
        <is>
          <t>https://legislature.idaho.gov/sessioninfo/2026/legislation/S1331/</t>
        </is>
      </c>
      <c r="W82" s="17">
        <f>IF(ISBLANK(V82),"","'&gt;")</f>
        <v/>
      </c>
      <c r="X82" s="12" t="inlineStr">
        <is>
          <t>Senate Bill 1331</t>
        </is>
      </c>
      <c r="Y82" s="17">
        <f>IF(ISBLANK(X82),"","&lt;/a&gt;")</f>
        <v/>
      </c>
      <c r="Z82" s="42">
        <f>IF(ISBLANK(X82),"",IF(OR(AB82="PASSED",ISBLANK(N82)),"&lt;/b&gt;","&lt;/i&gt;"))</f>
        <v/>
      </c>
      <c r="AA82" s="43">
        <f>IF(AB82="PASSED","&lt;b&gt;","")</f>
        <v/>
      </c>
      <c r="AB82" s="45" t="inlineStr">
        <is>
          <t>PASSED</t>
        </is>
      </c>
      <c r="AC82" s="43">
        <f>IF(AB82="PASSED","&lt;/b&gt;","")</f>
        <v/>
      </c>
      <c r="AD82" s="43">
        <f>IF(ISBLANK(AE82),"","&lt;b&gt;")</f>
        <v/>
      </c>
      <c r="AE82" s="51" t="inlineStr">
        <is>
          <t>03/06</t>
        </is>
      </c>
      <c r="AF82" s="42">
        <f>IF(ISBLANK(AE82),"",": ")</f>
        <v/>
      </c>
      <c r="AG82" s="42" t="inlineStr">
        <is>
          <t>House Vote 48-22</t>
        </is>
      </c>
      <c r="AH82" s="42">
        <f>IF(ISBLANK(AE82),"","&lt;/b&gt;")</f>
        <v/>
      </c>
      <c r="AI82" s="42" t="inlineStr">
        <is>
          <t>03/02: Senate Vote 18-17&lt;br&gt;02/06: FY26 holdback (-4%)</t>
        </is>
      </c>
      <c r="AJ82" s="42">
        <f>IF(ISBLANK(AI82),"","&lt;br&gt;"&amp;AI82)</f>
        <v/>
      </c>
      <c r="AK82" s="4" t="inlineStr">
        <is>
          <t>&lt;br&gt;</t>
        </is>
      </c>
      <c r="AL82" s="42" t="inlineStr">
        <is>
          <t>&lt;b&gt;&lt;i&gt;</t>
        </is>
      </c>
      <c r="AM82" s="42" t="inlineStr">
        <is>
          <t>Governor's 3% + JFAC's 1%</t>
        </is>
      </c>
      <c r="AN82" s="42">
        <f>IF(ISBLANK(AM82),"","&lt;/i&gt;")</f>
        <v/>
      </c>
      <c r="AO82" s="35">
        <f>IF(ISBLANK(AQ82),"","&lt;/b&gt;&lt;br&gt;&lt;br&gt;")</f>
        <v/>
      </c>
      <c r="AP82" s="42">
        <f>IF(ISBLANK(AQ82),"","&lt;b&gt;")</f>
        <v/>
      </c>
      <c r="AQ82" s="47" t="inlineStr">
        <is>
          <t xml:space="preserve">Agency Reduction Plan:&lt;br&gt;Additional </t>
        </is>
      </c>
      <c r="AR82" s="42" t="inlineStr">
        <is>
          <t>1</t>
        </is>
      </c>
      <c r="AS82" s="4">
        <f>IF(ISBLANK(AR82),""," %")</f>
        <v/>
      </c>
      <c r="AT82" s="4">
        <f t="array" ref="AT82">_xlfn.IFS(NOT(ISBLANK(AU82))," (pgs. ",NOT(ISBLANK(AS82))," (pg. ", ISBLANK(AS82), "")</f>
        <v/>
      </c>
      <c r="AU82" s="52" t="n">
        <v>86</v>
      </c>
      <c r="AV82" s="4">
        <f>IF(ISBLANK(AW82),"",", ")</f>
        <v/>
      </c>
      <c r="AW82" s="42" t="n"/>
      <c r="AX82" s="4">
        <f>IF(ISBLANK(AY82),"",",&lt;br&gt;")</f>
        <v/>
      </c>
      <c r="AY82" s="42" t="n"/>
      <c r="AZ82" s="49">
        <f>IF(ISBLANK(AU82),"",")&lt;/b&gt;")</f>
        <v/>
      </c>
      <c r="BA82" s="4">
        <f>IF(ISBLANK(BC82),"","&lt;br&gt;")</f>
        <v/>
      </c>
      <c r="BB82" s="42">
        <f t="array" ref="BB82">IF(ISBLANK(BC82),"",_xlfn.LET(
_xlpm.words,_xlfn.TEXTSPLIT(TRIM(BC82),"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82" s="50" t="inlineStr">
        <is>
          <t>This is OT salary savings generated by temporary vacancies and estimated savings generate based on future fill dates.</t>
        </is>
      </c>
    </row>
    <row r="83">
      <c r="A83" s="20">
        <f>_xlfn.TEXTJOIN("", TRUE, F83:H83)</f>
        <v/>
      </c>
      <c r="B83" s="21">
        <f>_xlfn.TEXTJOIN("", TRUE, I83:S83)</f>
        <v/>
      </c>
      <c r="C83" s="21">
        <f>IF(ISBLANK(X83),"", _xlfn.TEXTJOIN("",TRUE,T83:Z83))</f>
        <v/>
      </c>
      <c r="D83" s="21">
        <f>IF(ISBLANK(AB83), "", _xlfn.TEXTJOIN("", TRUE, AA83:AC83))</f>
        <v/>
      </c>
      <c r="E83" s="22">
        <f>IF(AU83="NA", _xlfn.TEXTJOIN("", TRUE, AD83:AH83), _xlfn.TEXTJOIN("", TRUE, AD83:AJ83))</f>
        <v/>
      </c>
      <c r="F83" s="42">
        <f>IF(LEFT(G83,4)="FY26","&lt;b&gt;","&lt;i&gt;")</f>
        <v/>
      </c>
      <c r="G83" s="42" t="inlineStr">
        <is>
          <t>FY26 Reduction</t>
        </is>
      </c>
      <c r="H83" s="42">
        <f>IF(LEFT(G83,4)="FY26","&lt;/b&gt;","&lt;/i&gt;")</f>
        <v/>
      </c>
      <c r="I83" s="43" t="inlineStr">
        <is>
          <t>&lt;i&gt;</t>
        </is>
      </c>
      <c r="J83" s="44" t="inlineStr">
        <is>
          <t>Health &amp; Human Services</t>
        </is>
      </c>
      <c r="K83" s="44" t="inlineStr">
        <is>
          <t>&lt;/i&gt;</t>
        </is>
      </c>
      <c r="L83" s="4">
        <f>IF(ISBLANK(N83),"","&lt;br&gt;")</f>
        <v/>
      </c>
      <c r="M83" s="42">
        <f>IF(ISBLANK(R83),"&lt;b&gt;","&lt;i&gt;")</f>
        <v/>
      </c>
      <c r="N83" s="42" t="inlineStr">
        <is>
          <t>Dept. of Health &amp; Welfare</t>
        </is>
      </c>
      <c r="O83" s="42">
        <f>IF(ISBLANK(R83),"&lt;/b&gt;","&lt;/i&gt;")</f>
        <v/>
      </c>
      <c r="P83" s="4">
        <f>IF(ISBLANK(R83),"","&lt;br&gt;")</f>
        <v/>
      </c>
      <c r="Q83" s="42">
        <f>IF(ISBLANK(R83),"","&lt;b&gt;")</f>
        <v/>
      </c>
      <c r="R83" s="42" t="inlineStr">
        <is>
          <t>Mental Health Services</t>
        </is>
      </c>
      <c r="S83" s="42">
        <f>IF(ISBLANK(R83),"","&lt;/i&gt;")</f>
        <v/>
      </c>
      <c r="T83" s="43">
        <f>IF(ISBLANK(X83),"",IF(OR(AB83="PASSED",ISBLANK(N83)),"&lt;b&gt;","&lt;i&gt;"))</f>
        <v/>
      </c>
      <c r="U83" s="3">
        <f>IF(ISBLANK(V83),"","&lt;a href='")</f>
        <v/>
      </c>
      <c r="V83" s="39" t="inlineStr">
        <is>
          <t>https://legislature.idaho.gov/sessioninfo/2026/legislation/S1331/</t>
        </is>
      </c>
      <c r="W83" s="17">
        <f>IF(ISBLANK(V83),"","'&gt;")</f>
        <v/>
      </c>
      <c r="X83" s="12" t="inlineStr">
        <is>
          <t>Senate Bill 1331</t>
        </is>
      </c>
      <c r="Y83" s="17">
        <f>IF(ISBLANK(X83),"","&lt;/a&gt;")</f>
        <v/>
      </c>
      <c r="Z83" s="42">
        <f>IF(ISBLANK(X83),"",IF(OR(AB83="PASSED",ISBLANK(N83)),"&lt;/b&gt;","&lt;/i&gt;"))</f>
        <v/>
      </c>
      <c r="AA83" s="43">
        <f>IF(AB83="PASSED","&lt;b&gt;","")</f>
        <v/>
      </c>
      <c r="AB83" s="45" t="inlineStr">
        <is>
          <t>PASSED</t>
        </is>
      </c>
      <c r="AC83" s="43">
        <f>IF(AB83="PASSED","&lt;/b&gt;","")</f>
        <v/>
      </c>
      <c r="AD83" s="43">
        <f>IF(ISBLANK(AE83),"","&lt;b&gt;")</f>
        <v/>
      </c>
      <c r="AE83" s="51" t="inlineStr">
        <is>
          <t>03/06</t>
        </is>
      </c>
      <c r="AF83" s="42">
        <f>IF(ISBLANK(AE83),"",": ")</f>
        <v/>
      </c>
      <c r="AG83" s="42" t="inlineStr">
        <is>
          <t>House Vote 48-22</t>
        </is>
      </c>
      <c r="AH83" s="42">
        <f>IF(ISBLANK(AE83),"","&lt;/b&gt;")</f>
        <v/>
      </c>
      <c r="AI83" s="42" t="inlineStr">
        <is>
          <t>03/02: Senate Vote 18-17&lt;br&gt;02/06: FY26 holdback (-4%)</t>
        </is>
      </c>
      <c r="AJ83" s="42">
        <f>IF(ISBLANK(AI83),"","&lt;br&gt;"&amp;AI83)</f>
        <v/>
      </c>
      <c r="AK83" s="4" t="inlineStr">
        <is>
          <t>&lt;br&gt;</t>
        </is>
      </c>
      <c r="AL83" s="42" t="inlineStr">
        <is>
          <t>&lt;b&gt;&lt;i&gt;</t>
        </is>
      </c>
      <c r="AM83" s="42" t="inlineStr">
        <is>
          <t>Governor's 3% + JFAC's 1%</t>
        </is>
      </c>
      <c r="AN83" s="42">
        <f>IF(ISBLANK(AM83),"","&lt;/i&gt;")</f>
        <v/>
      </c>
      <c r="AO83" s="35">
        <f>IF(ISBLANK(AQ83),"","&lt;/b&gt;&lt;br&gt;&lt;br&gt;")</f>
        <v/>
      </c>
      <c r="AP83" s="42">
        <f>IF(ISBLANK(AQ83),"","&lt;b&gt;")</f>
        <v/>
      </c>
      <c r="AQ83" s="47" t="inlineStr">
        <is>
          <t xml:space="preserve">Agency Reduction Plan:&lt;br&gt;Additional </t>
        </is>
      </c>
      <c r="AR83" s="42" t="inlineStr">
        <is>
          <t>1</t>
        </is>
      </c>
      <c r="AS83" s="4">
        <f>IF(ISBLANK(AR83),""," %")</f>
        <v/>
      </c>
      <c r="AT83" s="4">
        <f t="array" ref="AT83">_xlfn.IFS(NOT(ISBLANK(AU83))," (pgs. ",NOT(ISBLANK(AS83))," (pg. ", ISBLANK(AS83), "")</f>
        <v/>
      </c>
      <c r="AU83" s="52" t="n">
        <v>86</v>
      </c>
      <c r="AV83" s="4">
        <f>IF(ISBLANK(AW83),"",", ")</f>
        <v/>
      </c>
      <c r="AW83" s="42" t="n"/>
      <c r="AX83" s="4">
        <f>IF(ISBLANK(AY83),"",",&lt;br&gt;")</f>
        <v/>
      </c>
      <c r="AY83" s="42" t="n"/>
      <c r="AZ83" s="49">
        <f>IF(ISBLANK(AU83),"",")&lt;/b&gt;")</f>
        <v/>
      </c>
      <c r="BA83" s="4">
        <f>IF(ISBLANK(BC83),"","&lt;br&gt;")</f>
        <v/>
      </c>
      <c r="BB83" s="42">
        <f t="array" ref="BB83">IF(ISBLANK(BC83),"",_xlfn.LET(
_xlpm.words,_xlfn.TEXTSPLIT(TRIM(BC83),"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83" s="50" t="inlineStr">
        <is>
          <t>This is OT salary savings generated by temporary vacancies and estimated savings generate based on future fill dates.</t>
        </is>
      </c>
    </row>
    <row r="84">
      <c r="A84" s="20">
        <f>_xlfn.TEXTJOIN("", TRUE, F84:H84)</f>
        <v/>
      </c>
      <c r="B84" s="21">
        <f>_xlfn.TEXTJOIN("", TRUE, I84:S84)</f>
        <v/>
      </c>
      <c r="C84" s="21">
        <f>IF(ISBLANK(X84),"", _xlfn.TEXTJOIN("",TRUE,T84:Z84))</f>
        <v/>
      </c>
      <c r="D84" s="21">
        <f>IF(ISBLANK(AB84), "", _xlfn.TEXTJOIN("", TRUE, AA84:AC84))</f>
        <v/>
      </c>
      <c r="E84" s="22">
        <f>IF(AU84="NA", _xlfn.TEXTJOIN("", TRUE, AD84:AH84), _xlfn.TEXTJOIN("", TRUE, AD84:AJ84))</f>
        <v/>
      </c>
      <c r="F84" s="42">
        <f>IF(LEFT(G84,4)="FY26","&lt;b&gt;","&lt;i&gt;")</f>
        <v/>
      </c>
      <c r="G84" s="42" t="inlineStr">
        <is>
          <t>FY26 Reduction</t>
        </is>
      </c>
      <c r="H84" s="42">
        <f>IF(LEFT(G84,4)="FY26","&lt;/b&gt;","&lt;/i&gt;")</f>
        <v/>
      </c>
      <c r="I84" s="43" t="inlineStr">
        <is>
          <t>&lt;i&gt;</t>
        </is>
      </c>
      <c r="J84" s="44" t="inlineStr">
        <is>
          <t>Health &amp; Human Services</t>
        </is>
      </c>
      <c r="K84" s="44" t="inlineStr">
        <is>
          <t>&lt;/i&gt;</t>
        </is>
      </c>
      <c r="L84" s="4">
        <f>IF(ISBLANK(N84),"","&lt;br&gt;")</f>
        <v/>
      </c>
      <c r="M84" s="42">
        <f>IF(ISBLANK(R84),"&lt;b&gt;","&lt;i&gt;")</f>
        <v/>
      </c>
      <c r="N84" s="42" t="inlineStr">
        <is>
          <t>Dept. of Health &amp; Welfare</t>
        </is>
      </c>
      <c r="O84" s="42">
        <f>IF(ISBLANK(R84),"&lt;/b&gt;","&lt;/i&gt;")</f>
        <v/>
      </c>
      <c r="P84" s="4">
        <f>IF(ISBLANK(R84),"","&lt;br&gt;")</f>
        <v/>
      </c>
      <c r="Q84" s="42">
        <f>IF(ISBLANK(R84),"","&lt;b&gt;")</f>
        <v/>
      </c>
      <c r="R84" s="42" t="inlineStr">
        <is>
          <t>Psychiatric Hospitalization</t>
        </is>
      </c>
      <c r="S84" s="42">
        <f>IF(ISBLANK(R84),"","&lt;/i&gt;")</f>
        <v/>
      </c>
      <c r="T84" s="43">
        <f>IF(ISBLANK(X84),"",IF(OR(AB84="PASSED",ISBLANK(N84)),"&lt;b&gt;","&lt;i&gt;"))</f>
        <v/>
      </c>
      <c r="U84" s="3">
        <f>IF(ISBLANK(V84),"","&lt;a href='")</f>
        <v/>
      </c>
      <c r="V84" s="39" t="inlineStr">
        <is>
          <t>https://legislature.idaho.gov/sessioninfo/2026/legislation/S1331/</t>
        </is>
      </c>
      <c r="W84" s="17">
        <f>IF(ISBLANK(V84),"","'&gt;")</f>
        <v/>
      </c>
      <c r="X84" s="12" t="inlineStr">
        <is>
          <t>Senate Bill 1331</t>
        </is>
      </c>
      <c r="Y84" s="17">
        <f>IF(ISBLANK(X84),"","&lt;/a&gt;")</f>
        <v/>
      </c>
      <c r="Z84" s="42">
        <f>IF(ISBLANK(X84),"",IF(OR(AB84="PASSED",ISBLANK(N84)),"&lt;/b&gt;","&lt;/i&gt;"))</f>
        <v/>
      </c>
      <c r="AA84" s="43">
        <f>IF(AB84="PASSED","&lt;b&gt;","")</f>
        <v/>
      </c>
      <c r="AB84" s="45" t="inlineStr">
        <is>
          <t>PASSED</t>
        </is>
      </c>
      <c r="AC84" s="43">
        <f>IF(AB84="PASSED","&lt;/b&gt;","")</f>
        <v/>
      </c>
      <c r="AD84" s="43">
        <f>IF(ISBLANK(AE84),"","&lt;b&gt;")</f>
        <v/>
      </c>
      <c r="AE84" s="51" t="inlineStr">
        <is>
          <t>03/06</t>
        </is>
      </c>
      <c r="AF84" s="42">
        <f>IF(ISBLANK(AE84),"",": ")</f>
        <v/>
      </c>
      <c r="AG84" s="42" t="inlineStr">
        <is>
          <t>House Vote 48-22</t>
        </is>
      </c>
      <c r="AH84" s="42">
        <f>IF(ISBLANK(AE84),"","&lt;/b&gt;")</f>
        <v/>
      </c>
      <c r="AI84" s="42" t="inlineStr">
        <is>
          <t>03/02: Senate Vote 18-17&lt;br&gt;02/06: FY26 holdback (-4%)</t>
        </is>
      </c>
      <c r="AJ84" s="42">
        <f>IF(ISBLANK(AI84),"","&lt;br&gt;"&amp;AI84)</f>
        <v/>
      </c>
      <c r="AK84" s="4" t="inlineStr">
        <is>
          <t>&lt;br&gt;</t>
        </is>
      </c>
      <c r="AL84" s="42" t="inlineStr">
        <is>
          <t>&lt;b&gt;&lt;i&gt;</t>
        </is>
      </c>
      <c r="AM84" s="42" t="inlineStr">
        <is>
          <t>Governor's 3% + JFAC's 1%</t>
        </is>
      </c>
      <c r="AN84" s="42">
        <f>IF(ISBLANK(AM84),"","&lt;/i&gt;")</f>
        <v/>
      </c>
      <c r="AO84" s="35">
        <f>IF(ISBLANK(AQ84),"","&lt;/b&gt;&lt;br&gt;&lt;br&gt;")</f>
        <v/>
      </c>
      <c r="AP84" s="42">
        <f>IF(ISBLANK(AQ84),"","&lt;b&gt;")</f>
        <v/>
      </c>
      <c r="AQ84" s="47" t="inlineStr">
        <is>
          <t xml:space="preserve">Agency Reduction Plan:&lt;br&gt;Additional </t>
        </is>
      </c>
      <c r="AR84" s="42" t="inlineStr">
        <is>
          <t>1</t>
        </is>
      </c>
      <c r="AS84" s="4">
        <f>IF(ISBLANK(AR84),""," %")</f>
        <v/>
      </c>
      <c r="AT84" s="4">
        <f t="array" ref="AT84">_xlfn.IFS(NOT(ISBLANK(AU84))," (pgs. ",NOT(ISBLANK(AS84))," (pg. ", ISBLANK(AS84), "")</f>
        <v/>
      </c>
      <c r="AU84" s="52" t="n">
        <v>86</v>
      </c>
      <c r="AV84" s="4">
        <f>IF(ISBLANK(AW84),"",", ")</f>
        <v/>
      </c>
      <c r="AW84" s="42" t="n"/>
      <c r="AX84" s="4">
        <f>IF(ISBLANK(AY84),"",",&lt;br&gt;")</f>
        <v/>
      </c>
      <c r="AY84" s="42" t="n"/>
      <c r="AZ84" s="49">
        <f>IF(ISBLANK(AU84),"",")&lt;/b&gt;")</f>
        <v/>
      </c>
      <c r="BA84" s="4">
        <f>IF(ISBLANK(BC84),"","&lt;br&gt;")</f>
        <v/>
      </c>
      <c r="BB84" s="42">
        <f t="array" ref="BB84">IF(ISBLANK(BC84),"",_xlfn.LET(
_xlpm.words,_xlfn.TEXTSPLIT(TRIM(BC84),"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84" s="50" t="inlineStr">
        <is>
          <t>This is OT salary savings generated by temporary vacancies and estimated savings generate based on future fill dates.</t>
        </is>
      </c>
    </row>
    <row r="85">
      <c r="A85" s="20">
        <f>_xlfn.TEXTJOIN("", TRUE, F85:H85)</f>
        <v/>
      </c>
      <c r="B85" s="21">
        <f>_xlfn.TEXTJOIN("", TRUE, I85:S85)</f>
        <v/>
      </c>
      <c r="C85" s="21">
        <f>IF(ISBLANK(X85),"", _xlfn.TEXTJOIN("",TRUE,T85:Z85))</f>
        <v/>
      </c>
      <c r="D85" s="21">
        <f>IF(ISBLANK(AB85), "", _xlfn.TEXTJOIN("", TRUE, AA85:AC85))</f>
        <v/>
      </c>
      <c r="E85" s="22">
        <f>IF(AU85="NA", _xlfn.TEXTJOIN("", TRUE, AD85:AH85), _xlfn.TEXTJOIN("", TRUE, AD85:AJ85))</f>
        <v/>
      </c>
      <c r="F85" s="42">
        <f>IF(LEFT(G85,4)="FY26","&lt;b&gt;","&lt;i&gt;")</f>
        <v/>
      </c>
      <c r="G85" s="42" t="inlineStr">
        <is>
          <t>FY26 Reduction</t>
        </is>
      </c>
      <c r="H85" s="42">
        <f>IF(LEFT(G85,4)="FY26","&lt;/b&gt;","&lt;/i&gt;")</f>
        <v/>
      </c>
      <c r="I85" s="43" t="inlineStr">
        <is>
          <t>&lt;i&gt;</t>
        </is>
      </c>
      <c r="J85" s="44" t="inlineStr">
        <is>
          <t>Health &amp; Human Services</t>
        </is>
      </c>
      <c r="K85" s="44" t="inlineStr">
        <is>
          <t>&lt;/i&gt;</t>
        </is>
      </c>
      <c r="L85" s="4">
        <f>IF(ISBLANK(N85),"","&lt;br&gt;")</f>
        <v/>
      </c>
      <c r="M85" s="42">
        <f>IF(ISBLANK(R85),"&lt;b&gt;","&lt;i&gt;")</f>
        <v/>
      </c>
      <c r="N85" s="42" t="inlineStr">
        <is>
          <t>Dept. of Health &amp; Welfare</t>
        </is>
      </c>
      <c r="O85" s="42">
        <f>IF(ISBLANK(R85),"&lt;/b&gt;","&lt;/i&gt;")</f>
        <v/>
      </c>
      <c r="P85" s="4">
        <f>IF(ISBLANK(R85),"","&lt;br&gt;")</f>
        <v/>
      </c>
      <c r="Q85" s="42">
        <f>IF(ISBLANK(R85),"","&lt;b&gt;")</f>
        <v/>
      </c>
      <c r="R85" s="42" t="inlineStr">
        <is>
          <t>Public Health Services</t>
        </is>
      </c>
      <c r="S85" s="42">
        <f>IF(ISBLANK(R85),"","&lt;/i&gt;")</f>
        <v/>
      </c>
      <c r="T85" s="43">
        <f>IF(ISBLANK(X85),"",IF(OR(AB85="PASSED",ISBLANK(N85)),"&lt;b&gt;","&lt;i&gt;"))</f>
        <v/>
      </c>
      <c r="U85" s="3">
        <f>IF(ISBLANK(V85),"","&lt;a href='")</f>
        <v/>
      </c>
      <c r="V85" s="39" t="inlineStr">
        <is>
          <t>https://legislature.idaho.gov/sessioninfo/2026/legislation/S1331/</t>
        </is>
      </c>
      <c r="W85" s="17">
        <f>IF(ISBLANK(V85),"","'&gt;")</f>
        <v/>
      </c>
      <c r="X85" s="12" t="inlineStr">
        <is>
          <t>Senate Bill 1331</t>
        </is>
      </c>
      <c r="Y85" s="17">
        <f>IF(ISBLANK(X85),"","&lt;/a&gt;")</f>
        <v/>
      </c>
      <c r="Z85" s="42">
        <f>IF(ISBLANK(X85),"",IF(OR(AB85="PASSED",ISBLANK(N85)),"&lt;/b&gt;","&lt;/i&gt;"))</f>
        <v/>
      </c>
      <c r="AA85" s="43">
        <f>IF(AB85="PASSED","&lt;b&gt;","")</f>
        <v/>
      </c>
      <c r="AB85" s="45" t="inlineStr">
        <is>
          <t>PASSED</t>
        </is>
      </c>
      <c r="AC85" s="43">
        <f>IF(AB85="PASSED","&lt;/b&gt;","")</f>
        <v/>
      </c>
      <c r="AD85" s="43">
        <f>IF(ISBLANK(AE85),"","&lt;b&gt;")</f>
        <v/>
      </c>
      <c r="AE85" s="51" t="inlineStr">
        <is>
          <t>03/06</t>
        </is>
      </c>
      <c r="AF85" s="42">
        <f>IF(ISBLANK(AE85),"",": ")</f>
        <v/>
      </c>
      <c r="AG85" s="42" t="inlineStr">
        <is>
          <t>House Vote 48-22</t>
        </is>
      </c>
      <c r="AH85" s="42">
        <f>IF(ISBLANK(AE85),"","&lt;/b&gt;")</f>
        <v/>
      </c>
      <c r="AI85" s="42" t="inlineStr">
        <is>
          <t>03/02: Senate Vote 18-17&lt;br&gt;02/06: FY26 holdback (-4%)</t>
        </is>
      </c>
      <c r="AJ85" s="42">
        <f>IF(ISBLANK(AI85),"","&lt;br&gt;"&amp;AI85)</f>
        <v/>
      </c>
      <c r="AK85" s="4" t="inlineStr">
        <is>
          <t>&lt;br&gt;</t>
        </is>
      </c>
      <c r="AL85" s="42" t="inlineStr">
        <is>
          <t>&lt;b&gt;&lt;i&gt;</t>
        </is>
      </c>
      <c r="AM85" s="42" t="inlineStr">
        <is>
          <t>Governor's 3% + JFAC's 1%</t>
        </is>
      </c>
      <c r="AN85" s="42">
        <f>IF(ISBLANK(AM85),"","&lt;/i&gt;")</f>
        <v/>
      </c>
      <c r="AO85" s="35">
        <f>IF(ISBLANK(AQ85),"","&lt;/b&gt;&lt;br&gt;&lt;br&gt;")</f>
        <v/>
      </c>
      <c r="AP85" s="42">
        <f>IF(ISBLANK(AQ85),"","&lt;b&gt;")</f>
        <v/>
      </c>
      <c r="AQ85" s="47" t="inlineStr">
        <is>
          <t xml:space="preserve">Agency Reduction Plan:&lt;br&gt;Additional </t>
        </is>
      </c>
      <c r="AR85" s="42" t="inlineStr">
        <is>
          <t>1</t>
        </is>
      </c>
      <c r="AS85" s="4">
        <f>IF(ISBLANK(AR85),""," %")</f>
        <v/>
      </c>
      <c r="AT85" s="4">
        <f t="array" ref="AT85">_xlfn.IFS(NOT(ISBLANK(AU85))," (pgs. ",NOT(ISBLANK(AS85))," (pg. ", ISBLANK(AS85), "")</f>
        <v/>
      </c>
      <c r="AU85" s="52" t="n">
        <v>86</v>
      </c>
      <c r="AV85" s="4">
        <f>IF(ISBLANK(AW85),"",", ")</f>
        <v/>
      </c>
      <c r="AW85" s="42" t="n"/>
      <c r="AX85" s="4">
        <f>IF(ISBLANK(AY85),"",",&lt;br&gt;")</f>
        <v/>
      </c>
      <c r="AY85" s="42" t="n"/>
      <c r="AZ85" s="49">
        <f>IF(ISBLANK(AU85),"",")&lt;/b&gt;")</f>
        <v/>
      </c>
      <c r="BA85" s="4">
        <f>IF(ISBLANK(BC85),"","&lt;br&gt;")</f>
        <v/>
      </c>
      <c r="BB85" s="42">
        <f t="array" ref="BB85">IF(ISBLANK(BC85),"",_xlfn.LET(
_xlpm.words,_xlfn.TEXTSPLIT(TRIM(BC85),"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85" s="50" t="inlineStr">
        <is>
          <t>This is OT salary savings generated by temporary vacancies and estimated savings generate based on future fill dates.</t>
        </is>
      </c>
    </row>
    <row r="86">
      <c r="A86" s="20">
        <f>_xlfn.TEXTJOIN("", TRUE, F86:H86)</f>
        <v/>
      </c>
      <c r="B86" s="21">
        <f>_xlfn.TEXTJOIN("", TRUE, I86:S86)</f>
        <v/>
      </c>
      <c r="C86" s="21">
        <f>IF(ISBLANK(X86),"", _xlfn.TEXTJOIN("",TRUE,T86:Z86))</f>
        <v/>
      </c>
      <c r="D86" s="21">
        <f>IF(ISBLANK(AB86), "", _xlfn.TEXTJOIN("", TRUE, AA86:AC86))</f>
        <v/>
      </c>
      <c r="E86" s="22">
        <f>IF(AU86="NA", _xlfn.TEXTJOIN("", TRUE, AD86:AH86), _xlfn.TEXTJOIN("", TRUE, AD86:AJ86))</f>
        <v/>
      </c>
      <c r="F86" s="42">
        <f>IF(LEFT(G86,4)="FY26","&lt;b&gt;","&lt;i&gt;")</f>
        <v/>
      </c>
      <c r="G86" s="42" t="inlineStr">
        <is>
          <t>FY26 Reduction</t>
        </is>
      </c>
      <c r="H86" s="42">
        <f>IF(LEFT(G86,4)="FY26","&lt;/b&gt;","&lt;/i&gt;")</f>
        <v/>
      </c>
      <c r="I86" s="43" t="inlineStr">
        <is>
          <t>&lt;i&gt;</t>
        </is>
      </c>
      <c r="J86" s="44" t="inlineStr">
        <is>
          <t>Health &amp; Human Services</t>
        </is>
      </c>
      <c r="K86" s="44" t="inlineStr">
        <is>
          <t>&lt;/i&gt;</t>
        </is>
      </c>
      <c r="L86" s="4">
        <f>IF(ISBLANK(N86),"","&lt;br&gt;")</f>
        <v/>
      </c>
      <c r="M86" s="42">
        <f>IF(ISBLANK(R86),"&lt;b&gt;","&lt;i&gt;")</f>
        <v/>
      </c>
      <c r="N86" s="42" t="inlineStr">
        <is>
          <t>Dept. of Health &amp; Welfare</t>
        </is>
      </c>
      <c r="O86" s="42">
        <f>IF(ISBLANK(R86),"&lt;/b&gt;","&lt;/i&gt;")</f>
        <v/>
      </c>
      <c r="P86" s="4">
        <f>IF(ISBLANK(R86),"","&lt;br&gt;")</f>
        <v/>
      </c>
      <c r="Q86" s="42">
        <f>IF(ISBLANK(R86),"","&lt;b&gt;")</f>
        <v/>
      </c>
      <c r="R86" s="42" t="inlineStr">
        <is>
          <t>Service Integration</t>
        </is>
      </c>
      <c r="S86" s="42">
        <f>IF(ISBLANK(R86),"","&lt;/i&gt;")</f>
        <v/>
      </c>
      <c r="T86" s="43">
        <f>IF(ISBLANK(X86),"",IF(OR(AB86="PASSED",ISBLANK(N86)),"&lt;b&gt;","&lt;i&gt;"))</f>
        <v/>
      </c>
      <c r="U86" s="3">
        <f>IF(ISBLANK(V86),"","&lt;a href='")</f>
        <v/>
      </c>
      <c r="V86" s="39" t="inlineStr">
        <is>
          <t>https://legislature.idaho.gov/sessioninfo/2026/legislation/S1331/</t>
        </is>
      </c>
      <c r="W86" s="17">
        <f>IF(ISBLANK(V86),"","'&gt;")</f>
        <v/>
      </c>
      <c r="X86" s="12" t="inlineStr">
        <is>
          <t>Senate Bill 1331</t>
        </is>
      </c>
      <c r="Y86" s="17">
        <f>IF(ISBLANK(X86),"","&lt;/a&gt;")</f>
        <v/>
      </c>
      <c r="Z86" s="42">
        <f>IF(ISBLANK(X86),"",IF(OR(AB86="PASSED",ISBLANK(N86)),"&lt;/b&gt;","&lt;/i&gt;"))</f>
        <v/>
      </c>
      <c r="AA86" s="43">
        <f>IF(AB86="PASSED","&lt;b&gt;","")</f>
        <v/>
      </c>
      <c r="AB86" s="45" t="inlineStr">
        <is>
          <t>PASSED</t>
        </is>
      </c>
      <c r="AC86" s="43">
        <f>IF(AB86="PASSED","&lt;/b&gt;","")</f>
        <v/>
      </c>
      <c r="AD86" s="43">
        <f>IF(ISBLANK(AE86),"","&lt;b&gt;")</f>
        <v/>
      </c>
      <c r="AE86" s="51" t="inlineStr">
        <is>
          <t>03/06</t>
        </is>
      </c>
      <c r="AF86" s="42">
        <f>IF(ISBLANK(AE86),"",": ")</f>
        <v/>
      </c>
      <c r="AG86" s="42" t="inlineStr">
        <is>
          <t>House Vote 48-22</t>
        </is>
      </c>
      <c r="AH86" s="42">
        <f>IF(ISBLANK(AE86),"","&lt;/b&gt;")</f>
        <v/>
      </c>
      <c r="AI86" s="42" t="inlineStr">
        <is>
          <t>03/02: Senate Vote 18-17&lt;br&gt;02/06: FY26 holdback (-4%)</t>
        </is>
      </c>
      <c r="AJ86" s="42">
        <f>IF(ISBLANK(AI86),"","&lt;br&gt;"&amp;AI86)</f>
        <v/>
      </c>
      <c r="AK86" s="4" t="inlineStr">
        <is>
          <t>&lt;br&gt;</t>
        </is>
      </c>
      <c r="AL86" s="42" t="inlineStr">
        <is>
          <t>&lt;b&gt;&lt;i&gt;</t>
        </is>
      </c>
      <c r="AM86" s="42" t="inlineStr">
        <is>
          <t>Governor's 3% + JFAC's 1%</t>
        </is>
      </c>
      <c r="AN86" s="42">
        <f>IF(ISBLANK(AM86),"","&lt;/i&gt;")</f>
        <v/>
      </c>
      <c r="AO86" s="35">
        <f>IF(ISBLANK(AQ86),"","&lt;/b&gt;&lt;br&gt;&lt;br&gt;")</f>
        <v/>
      </c>
      <c r="AP86" s="42">
        <f>IF(ISBLANK(AQ86),"","&lt;b&gt;")</f>
        <v/>
      </c>
      <c r="AQ86" s="47" t="inlineStr">
        <is>
          <t xml:space="preserve">Agency Reduction Plan:&lt;br&gt;Additional </t>
        </is>
      </c>
      <c r="AR86" s="42" t="inlineStr">
        <is>
          <t>1</t>
        </is>
      </c>
      <c r="AS86" s="4">
        <f>IF(ISBLANK(AR86),""," %")</f>
        <v/>
      </c>
      <c r="AT86" s="4">
        <f t="array" ref="AT86">_xlfn.IFS(NOT(ISBLANK(AU86))," (pgs. ",NOT(ISBLANK(AS86))," (pg. ", ISBLANK(AS86), "")</f>
        <v/>
      </c>
      <c r="AU86" s="52" t="n">
        <v>86</v>
      </c>
      <c r="AV86" s="4">
        <f>IF(ISBLANK(AW86),"",", ")</f>
        <v/>
      </c>
      <c r="AW86" s="42" t="n"/>
      <c r="AX86" s="4">
        <f>IF(ISBLANK(AY86),"",",&lt;br&gt;")</f>
        <v/>
      </c>
      <c r="AY86" s="42" t="n"/>
      <c r="AZ86" s="49">
        <f>IF(ISBLANK(AU86),"",")&lt;/b&gt;")</f>
        <v/>
      </c>
      <c r="BA86" s="4">
        <f>IF(ISBLANK(BC86),"","&lt;br&gt;")</f>
        <v/>
      </c>
      <c r="BB86" s="42">
        <f t="array" ref="BB86">IF(ISBLANK(BC86),"",_xlfn.LET(
_xlpm.words,_xlfn.TEXTSPLIT(TRIM(BC86),"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86" s="50" t="inlineStr">
        <is>
          <t>This is OT salary savings generated by temporary vacancies and estimated savings generate based on future fill dates.</t>
        </is>
      </c>
    </row>
    <row r="87">
      <c r="A87" s="20">
        <f>_xlfn.TEXTJOIN("", TRUE, F87:H87)</f>
        <v/>
      </c>
      <c r="B87" s="21">
        <f>_xlfn.TEXTJOIN("", TRUE, I87:S87)</f>
        <v/>
      </c>
      <c r="C87" s="21">
        <f>IF(ISBLANK(X87),"", _xlfn.TEXTJOIN("",TRUE,T87:Z87))</f>
        <v/>
      </c>
      <c r="D87" s="21">
        <f>IF(ISBLANK(AB87), "", _xlfn.TEXTJOIN("", TRUE, AA87:AC87))</f>
        <v/>
      </c>
      <c r="E87" s="22">
        <f>IF(AU87="NA", _xlfn.TEXTJOIN("", TRUE, AD87:AH87), _xlfn.TEXTJOIN("", TRUE, AD87:AJ87))</f>
        <v/>
      </c>
      <c r="F87" s="42">
        <f>IF(LEFT(G87,4)="FY26","&lt;b&gt;","&lt;i&gt;")</f>
        <v/>
      </c>
      <c r="G87" s="42" t="inlineStr">
        <is>
          <t>FY26 Reduction</t>
        </is>
      </c>
      <c r="H87" s="42">
        <f>IF(LEFT(G87,4)="FY26","&lt;/b&gt;","&lt;/i&gt;")</f>
        <v/>
      </c>
      <c r="I87" s="43" t="inlineStr">
        <is>
          <t>&lt;i&gt;</t>
        </is>
      </c>
      <c r="J87" s="44" t="inlineStr">
        <is>
          <t>Health &amp; Human Services</t>
        </is>
      </c>
      <c r="K87" s="44" t="inlineStr">
        <is>
          <t>&lt;/i&gt;</t>
        </is>
      </c>
      <c r="L87" s="4">
        <f>IF(ISBLANK(N87),"","&lt;br&gt;")</f>
        <v/>
      </c>
      <c r="M87" s="42">
        <f>IF(ISBLANK(R87),"&lt;b&gt;","&lt;i&gt;")</f>
        <v/>
      </c>
      <c r="N87" s="42" t="inlineStr">
        <is>
          <t>Dept. of Health &amp; Welfare</t>
        </is>
      </c>
      <c r="O87" s="42">
        <f>IF(ISBLANK(R87),"&lt;/b&gt;","&lt;/i&gt;")</f>
        <v/>
      </c>
      <c r="P87" s="4">
        <f>IF(ISBLANK(R87),"","&lt;br&gt;")</f>
        <v/>
      </c>
      <c r="Q87" s="42">
        <f>IF(ISBLANK(R87),"","&lt;b&gt;")</f>
        <v/>
      </c>
      <c r="R87" s="42" t="inlineStr">
        <is>
          <t>Services for the Developmentally Disabled</t>
        </is>
      </c>
      <c r="S87" s="42">
        <f>IF(ISBLANK(R87),"","&lt;/i&gt;")</f>
        <v/>
      </c>
      <c r="T87" s="43">
        <f>IF(ISBLANK(X87),"",IF(OR(AB87="PASSED",ISBLANK(N87)),"&lt;b&gt;","&lt;i&gt;"))</f>
        <v/>
      </c>
      <c r="U87" s="3">
        <f>IF(ISBLANK(V87),"","&lt;a href='")</f>
        <v/>
      </c>
      <c r="V87" s="39" t="inlineStr">
        <is>
          <t>https://legislature.idaho.gov/sessioninfo/2026/legislation/S1331/</t>
        </is>
      </c>
      <c r="W87" s="17">
        <f>IF(ISBLANK(V87),"","'&gt;")</f>
        <v/>
      </c>
      <c r="X87" s="12" t="inlineStr">
        <is>
          <t>Senate Bill 1331</t>
        </is>
      </c>
      <c r="Y87" s="17">
        <f>IF(ISBLANK(X87),"","&lt;/a&gt;")</f>
        <v/>
      </c>
      <c r="Z87" s="42">
        <f>IF(ISBLANK(X87),"",IF(OR(AB87="PASSED",ISBLANK(N87)),"&lt;/b&gt;","&lt;/i&gt;"))</f>
        <v/>
      </c>
      <c r="AA87" s="43">
        <f>IF(AB87="PASSED","&lt;b&gt;","")</f>
        <v/>
      </c>
      <c r="AB87" s="45" t="inlineStr">
        <is>
          <t>PASSED</t>
        </is>
      </c>
      <c r="AC87" s="43">
        <f>IF(AB87="PASSED","&lt;/b&gt;","")</f>
        <v/>
      </c>
      <c r="AD87" s="43">
        <f>IF(ISBLANK(AE87),"","&lt;b&gt;")</f>
        <v/>
      </c>
      <c r="AE87" s="51" t="inlineStr">
        <is>
          <t>03/06</t>
        </is>
      </c>
      <c r="AF87" s="42">
        <f>IF(ISBLANK(AE87),"",": ")</f>
        <v/>
      </c>
      <c r="AG87" s="42" t="inlineStr">
        <is>
          <t>House Vote 48-22</t>
        </is>
      </c>
      <c r="AH87" s="42">
        <f>IF(ISBLANK(AE87),"","&lt;/b&gt;")</f>
        <v/>
      </c>
      <c r="AI87" s="42" t="inlineStr">
        <is>
          <t>03/02: Senate Vote 18-17&lt;br&gt;02/06: FY26 holdback (-4%)</t>
        </is>
      </c>
      <c r="AJ87" s="42">
        <f>IF(ISBLANK(AI87),"","&lt;br&gt;"&amp;AI87)</f>
        <v/>
      </c>
      <c r="AK87" s="4" t="inlineStr">
        <is>
          <t>&lt;br&gt;</t>
        </is>
      </c>
      <c r="AL87" s="42" t="inlineStr">
        <is>
          <t>&lt;b&gt;&lt;i&gt;</t>
        </is>
      </c>
      <c r="AM87" s="42" t="inlineStr">
        <is>
          <t>Governor's 3% + JFAC's 1%</t>
        </is>
      </c>
      <c r="AN87" s="42">
        <f>IF(ISBLANK(AM87),"","&lt;/i&gt;")</f>
        <v/>
      </c>
      <c r="AO87" s="35">
        <f>IF(ISBLANK(AQ87),"","&lt;/b&gt;&lt;br&gt;&lt;br&gt;")</f>
        <v/>
      </c>
      <c r="AP87" s="42">
        <f>IF(ISBLANK(AQ87),"","&lt;b&gt;")</f>
        <v/>
      </c>
      <c r="AQ87" s="47" t="inlineStr">
        <is>
          <t xml:space="preserve">Agency Reduction Plan:&lt;br&gt;Additional </t>
        </is>
      </c>
      <c r="AR87" s="42" t="inlineStr">
        <is>
          <t>1</t>
        </is>
      </c>
      <c r="AS87" s="4">
        <f>IF(ISBLANK(AR87),""," %")</f>
        <v/>
      </c>
      <c r="AT87" s="4">
        <f t="array" ref="AT87">_xlfn.IFS(NOT(ISBLANK(AU87))," (pgs. ",NOT(ISBLANK(AS87))," (pg. ", ISBLANK(AS87), "")</f>
        <v/>
      </c>
      <c r="AU87" s="52" t="n">
        <v>86</v>
      </c>
      <c r="AV87" s="4">
        <f>IF(ISBLANK(AW87),"",", ")</f>
        <v/>
      </c>
      <c r="AW87" s="42" t="n"/>
      <c r="AX87" s="4">
        <f>IF(ISBLANK(AY87),"",",&lt;br&gt;")</f>
        <v/>
      </c>
      <c r="AY87" s="42" t="n"/>
      <c r="AZ87" s="49">
        <f>IF(ISBLANK(AU87),"",")&lt;/b&gt;")</f>
        <v/>
      </c>
      <c r="BA87" s="4">
        <f>IF(ISBLANK(BC87),"","&lt;br&gt;")</f>
        <v/>
      </c>
      <c r="BB87" s="42">
        <f t="array" ref="BB87">IF(ISBLANK(BC87),"",_xlfn.LET(
_xlpm.words,_xlfn.TEXTSPLIT(TRIM(BC87),"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87" s="50" t="inlineStr">
        <is>
          <t>This is OT salary savings generated by temporary vacancies and estimated savings generate based on future fill dates.</t>
        </is>
      </c>
    </row>
    <row r="88">
      <c r="A88" s="20">
        <f>_xlfn.TEXTJOIN("", TRUE, F88:H88)</f>
        <v/>
      </c>
      <c r="B88" s="21">
        <f>_xlfn.TEXTJOIN("", TRUE, I88:S88)</f>
        <v/>
      </c>
      <c r="C88" s="21">
        <f>IF(ISBLANK(X88),"", _xlfn.TEXTJOIN("",TRUE,T88:Z88))</f>
        <v/>
      </c>
      <c r="D88" s="21">
        <f>IF(ISBLANK(AB88), "", _xlfn.TEXTJOIN("", TRUE, AA88:AC88))</f>
        <v/>
      </c>
      <c r="E88" s="22">
        <f>IF(AU88="NA", _xlfn.TEXTJOIN("", TRUE, AD88:AH88), _xlfn.TEXTJOIN("", TRUE, AD88:AJ88))</f>
        <v/>
      </c>
      <c r="F88" s="42">
        <f>IF(LEFT(G88,4)="FY26","&lt;b&gt;","&lt;i&gt;")</f>
        <v/>
      </c>
      <c r="G88" s="42" t="inlineStr">
        <is>
          <t>FY26 Reduction</t>
        </is>
      </c>
      <c r="H88" s="42">
        <f>IF(LEFT(G88,4)="FY26","&lt;/b&gt;","&lt;/i&gt;")</f>
        <v/>
      </c>
      <c r="I88" s="43" t="inlineStr">
        <is>
          <t>&lt;i&gt;</t>
        </is>
      </c>
      <c r="J88" s="44" t="inlineStr">
        <is>
          <t>Health &amp; Human Services</t>
        </is>
      </c>
      <c r="K88" s="44" t="inlineStr">
        <is>
          <t>&lt;/i&gt;</t>
        </is>
      </c>
      <c r="L88" s="4">
        <f>IF(ISBLANK(N88),"","&lt;br&gt;")</f>
        <v/>
      </c>
      <c r="M88" s="42">
        <f>IF(ISBLANK(R88),"&lt;b&gt;","&lt;i&gt;")</f>
        <v/>
      </c>
      <c r="N88" s="42" t="inlineStr">
        <is>
          <t>Dept. of Health &amp; Welfare</t>
        </is>
      </c>
      <c r="O88" s="42">
        <f>IF(ISBLANK(R88),"&lt;/b&gt;","&lt;/i&gt;")</f>
        <v/>
      </c>
      <c r="P88" s="4">
        <f>IF(ISBLANK(R88),"","&lt;br&gt;")</f>
        <v/>
      </c>
      <c r="Q88" s="42">
        <f>IF(ISBLANK(R88),"","&lt;b&gt;")</f>
        <v/>
      </c>
      <c r="R88" s="42" t="inlineStr">
        <is>
          <t>Substance Abuse Treatment &amp; Prevention</t>
        </is>
      </c>
      <c r="S88" s="42">
        <f>IF(ISBLANK(R88),"","&lt;/i&gt;")</f>
        <v/>
      </c>
      <c r="T88" s="43">
        <f>IF(ISBLANK(X88),"",IF(OR(AB88="PASSED",ISBLANK(N88)),"&lt;b&gt;","&lt;i&gt;"))</f>
        <v/>
      </c>
      <c r="U88" s="3">
        <f>IF(ISBLANK(V88),"","&lt;a href='")</f>
        <v/>
      </c>
      <c r="V88" s="39" t="inlineStr">
        <is>
          <t>https://legislature.idaho.gov/sessioninfo/2026/legislation/S1331/</t>
        </is>
      </c>
      <c r="W88" s="17">
        <f>IF(ISBLANK(V88),"","'&gt;")</f>
        <v/>
      </c>
      <c r="X88" s="12" t="inlineStr">
        <is>
          <t>Senate Bill 1331</t>
        </is>
      </c>
      <c r="Y88" s="17">
        <f>IF(ISBLANK(X88),"","&lt;/a&gt;")</f>
        <v/>
      </c>
      <c r="Z88" s="42">
        <f>IF(ISBLANK(X88),"",IF(OR(AB88="PASSED",ISBLANK(N88)),"&lt;/b&gt;","&lt;/i&gt;"))</f>
        <v/>
      </c>
      <c r="AA88" s="43">
        <f>IF(AB88="PASSED","&lt;b&gt;","")</f>
        <v/>
      </c>
      <c r="AB88" s="45" t="inlineStr">
        <is>
          <t>PASSED</t>
        </is>
      </c>
      <c r="AC88" s="43">
        <f>IF(AB88="PASSED","&lt;/b&gt;","")</f>
        <v/>
      </c>
      <c r="AD88" s="43">
        <f>IF(ISBLANK(AE88),"","&lt;b&gt;")</f>
        <v/>
      </c>
      <c r="AE88" s="51" t="inlineStr">
        <is>
          <t>03/06</t>
        </is>
      </c>
      <c r="AF88" s="42">
        <f>IF(ISBLANK(AE88),"",": ")</f>
        <v/>
      </c>
      <c r="AG88" s="42" t="inlineStr">
        <is>
          <t>House Vote 48-22</t>
        </is>
      </c>
      <c r="AH88" s="42">
        <f>IF(ISBLANK(AE88),"","&lt;/b&gt;")</f>
        <v/>
      </c>
      <c r="AI88" s="42" t="inlineStr">
        <is>
          <t>03/02: Senate Vote 18-17&lt;br&gt;02/06: FY26 holdback (-4%)</t>
        </is>
      </c>
      <c r="AJ88" s="42">
        <f>IF(ISBLANK(AI88),"","&lt;br&gt;"&amp;AI88)</f>
        <v/>
      </c>
      <c r="AK88" s="4" t="inlineStr">
        <is>
          <t>&lt;br&gt;</t>
        </is>
      </c>
      <c r="AL88" s="42" t="inlineStr">
        <is>
          <t>&lt;b&gt;&lt;i&gt;</t>
        </is>
      </c>
      <c r="AM88" s="42" t="inlineStr">
        <is>
          <t>Governor's 3% + JFAC's 1%</t>
        </is>
      </c>
      <c r="AN88" s="42">
        <f>IF(ISBLANK(AM88),"","&lt;/i&gt;")</f>
        <v/>
      </c>
      <c r="AO88" s="35">
        <f>IF(ISBLANK(AQ88),"","&lt;/b&gt;&lt;br&gt;&lt;br&gt;")</f>
        <v/>
      </c>
      <c r="AP88" s="42">
        <f>IF(ISBLANK(AQ88),"","&lt;b&gt;")</f>
        <v/>
      </c>
      <c r="AQ88" s="47" t="inlineStr">
        <is>
          <t xml:space="preserve">Agency Reduction Plan:&lt;br&gt;Additional </t>
        </is>
      </c>
      <c r="AR88" s="42" t="inlineStr">
        <is>
          <t>1</t>
        </is>
      </c>
      <c r="AS88" s="4">
        <f>IF(ISBLANK(AR88),""," %")</f>
        <v/>
      </c>
      <c r="AT88" s="4">
        <f t="array" ref="AT88">_xlfn.IFS(NOT(ISBLANK(AU88))," (pgs. ",NOT(ISBLANK(AS88))," (pg. ", ISBLANK(AS88), "")</f>
        <v/>
      </c>
      <c r="AU88" s="52" t="n">
        <v>86</v>
      </c>
      <c r="AV88" s="4">
        <f>IF(ISBLANK(AW88),"",", ")</f>
        <v/>
      </c>
      <c r="AW88" s="42" t="n"/>
      <c r="AX88" s="4">
        <f>IF(ISBLANK(AY88),"",",&lt;br&gt;")</f>
        <v/>
      </c>
      <c r="AY88" s="42" t="n"/>
      <c r="AZ88" s="49">
        <f>IF(ISBLANK(AU88),"",")&lt;/b&gt;")</f>
        <v/>
      </c>
      <c r="BA88" s="4">
        <f>IF(ISBLANK(BC88),"","&lt;br&gt;")</f>
        <v/>
      </c>
      <c r="BB88" s="42">
        <f t="array" ref="BB88">IF(ISBLANK(BC88),"",_xlfn.LET(
_xlpm.words,_xlfn.TEXTSPLIT(TRIM(BC88),"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88" s="50" t="inlineStr">
        <is>
          <t>This is OT salary savings generated by temporary vacancies and estimated savings generate based on future fill dates.</t>
        </is>
      </c>
    </row>
    <row r="89">
      <c r="A89" s="20">
        <f>_xlfn.TEXTJOIN("", TRUE, F89:H89)</f>
        <v/>
      </c>
      <c r="B89" s="21">
        <f>_xlfn.TEXTJOIN("", TRUE, I89:S89)</f>
        <v/>
      </c>
      <c r="C89" s="21">
        <f>IF(ISBLANK(X89),"", _xlfn.TEXTJOIN("",TRUE,T89:Z89))</f>
        <v/>
      </c>
      <c r="D89" s="21">
        <f>IF(ISBLANK(AB89), "", _xlfn.TEXTJOIN("", TRUE, AA89:AC89))</f>
        <v/>
      </c>
      <c r="E89" s="22">
        <f>IF(AU89="NA", _xlfn.TEXTJOIN("", TRUE, AD89:AH89), _xlfn.TEXTJOIN("", TRUE, AD89:AJ89))</f>
        <v/>
      </c>
      <c r="F89" s="42">
        <f>IF(LEFT(G89,4)="FY26","&lt;b&gt;","&lt;i&gt;")</f>
        <v/>
      </c>
      <c r="G89" s="42" t="inlineStr">
        <is>
          <t>FY26 Reduction</t>
        </is>
      </c>
      <c r="H89" s="42">
        <f>IF(LEFT(G89,4)="FY26","&lt;/b&gt;","&lt;/i&gt;")</f>
        <v/>
      </c>
      <c r="I89" s="43" t="inlineStr">
        <is>
          <t>&lt;i&gt;</t>
        </is>
      </c>
      <c r="J89" s="44" t="inlineStr">
        <is>
          <t>Health &amp; Human Services</t>
        </is>
      </c>
      <c r="K89" s="44" t="inlineStr">
        <is>
          <t>&lt;/i&gt;</t>
        </is>
      </c>
      <c r="L89" s="4">
        <f>IF(ISBLANK(N89),"","&lt;br&gt;")</f>
        <v/>
      </c>
      <c r="M89" s="42">
        <f>IF(ISBLANK(R89),"&lt;b&gt;","&lt;i&gt;")</f>
        <v/>
      </c>
      <c r="N89" s="42" t="inlineStr">
        <is>
          <t>State Independent Living Council</t>
        </is>
      </c>
      <c r="O89" s="42">
        <f>IF(ISBLANK(R89),"&lt;/b&gt;","&lt;/i&gt;")</f>
        <v/>
      </c>
      <c r="P89" s="4">
        <f>IF(ISBLANK(R89),"","&lt;br&gt;")</f>
        <v/>
      </c>
      <c r="Q89" s="42">
        <f>IF(ISBLANK(R89),"","&lt;b&gt;")</f>
        <v/>
      </c>
      <c r="R89" s="42" t="n"/>
      <c r="S89" s="42">
        <f>IF(ISBLANK(R89),"","&lt;/i&gt;")</f>
        <v/>
      </c>
      <c r="T89" s="43">
        <f>IF(ISBLANK(X89),"",IF(OR(AB89="PASSED",ISBLANK(N89)),"&lt;b&gt;","&lt;i&gt;"))</f>
        <v/>
      </c>
      <c r="U89" s="3">
        <f>IF(ISBLANK(V89),"","&lt;a href='")</f>
        <v/>
      </c>
      <c r="V89" s="39" t="inlineStr">
        <is>
          <t>https://legislature.idaho.gov/sessioninfo/2026/legislation/S1331/</t>
        </is>
      </c>
      <c r="W89" s="17">
        <f>IF(ISBLANK(V89),"","'&gt;")</f>
        <v/>
      </c>
      <c r="X89" s="12" t="inlineStr">
        <is>
          <t>Senate Bill 1331</t>
        </is>
      </c>
      <c r="Y89" s="17">
        <f>IF(ISBLANK(X89),"","&lt;/a&gt;")</f>
        <v/>
      </c>
      <c r="Z89" s="42">
        <f>IF(ISBLANK(X89),"",IF(OR(AB89="PASSED",ISBLANK(N89)),"&lt;/b&gt;","&lt;/i&gt;"))</f>
        <v/>
      </c>
      <c r="AA89" s="43">
        <f>IF(AB89="PASSED","&lt;b&gt;","")</f>
        <v/>
      </c>
      <c r="AB89" s="45" t="inlineStr">
        <is>
          <t>PASSED</t>
        </is>
      </c>
      <c r="AC89" s="43">
        <f>IF(AB89="PASSED","&lt;/b&gt;","")</f>
        <v/>
      </c>
      <c r="AD89" s="43">
        <f>IF(ISBLANK(AE89),"","&lt;b&gt;")</f>
        <v/>
      </c>
      <c r="AE89" s="51" t="inlineStr">
        <is>
          <t>03/06</t>
        </is>
      </c>
      <c r="AF89" s="42">
        <f>IF(ISBLANK(AE89),"",": ")</f>
        <v/>
      </c>
      <c r="AG89" s="42" t="inlineStr">
        <is>
          <t>House Vote 48-22</t>
        </is>
      </c>
      <c r="AH89" s="42">
        <f>IF(ISBLANK(AE89),"","&lt;/b&gt;")</f>
        <v/>
      </c>
      <c r="AI89" s="42" t="inlineStr">
        <is>
          <t>03/02: Senate Vote 18-17&lt;br&gt;02/06: FY26 holdback (-4%)</t>
        </is>
      </c>
      <c r="AJ89" s="42">
        <f>IF(ISBLANK(AI89),"","&lt;br&gt;"&amp;AI89)</f>
        <v/>
      </c>
      <c r="AK89" s="4" t="inlineStr">
        <is>
          <t>&lt;br&gt;</t>
        </is>
      </c>
      <c r="AL89" s="42" t="inlineStr">
        <is>
          <t>&lt;b&gt;&lt;i&gt;</t>
        </is>
      </c>
      <c r="AM89" s="42" t="inlineStr">
        <is>
          <t>Governor's 3% + JFAC's 1%</t>
        </is>
      </c>
      <c r="AN89" s="42">
        <f>IF(ISBLANK(AM89),"","&lt;/i&gt;")</f>
        <v/>
      </c>
      <c r="AO89" s="35">
        <f>IF(ISBLANK(AQ89),"","&lt;/b&gt;&lt;br&gt;&lt;br&gt;")</f>
        <v/>
      </c>
      <c r="AP89" s="42">
        <f>IF(ISBLANK(AQ89),"","&lt;b&gt;")</f>
        <v/>
      </c>
      <c r="AQ89" s="47" t="inlineStr">
        <is>
          <t xml:space="preserve">Agency Reduction Plan:&lt;br&gt;Additional </t>
        </is>
      </c>
      <c r="AR89" s="42" t="inlineStr">
        <is>
          <t>1</t>
        </is>
      </c>
      <c r="AS89" s="4">
        <f>IF(ISBLANK(AR89),""," %")</f>
        <v/>
      </c>
      <c r="AT89" s="4">
        <f t="array" ref="AT89">_xlfn.IFS(NOT(ISBLANK(AU89))," (pgs. ",NOT(ISBLANK(AS89))," (pg. ", ISBLANK(AS89), "")</f>
        <v/>
      </c>
      <c r="AU89" s="52" t="n">
        <v>95</v>
      </c>
      <c r="AV89" s="4">
        <f>IF(ISBLANK(AW89),"",", ")</f>
        <v/>
      </c>
      <c r="AW89" s="42" t="n"/>
      <c r="AX89" s="4">
        <f>IF(ISBLANK(AY89),"",",&lt;br&gt;")</f>
        <v/>
      </c>
      <c r="AY89" s="42" t="n"/>
      <c r="AZ89" s="49">
        <f>IF(ISBLANK(AU89),"",")&lt;/b&gt;")</f>
        <v/>
      </c>
      <c r="BA89" s="4">
        <f>IF(ISBLANK(BC89),"","&lt;br&gt;")</f>
        <v/>
      </c>
      <c r="BB89" s="42">
        <f t="array" ref="BB89">IF(ISBLANK(BC89),"",_xlfn.LET(
_xlpm.words,_xlfn.TEXTSPLIT(TRIM(BC89),"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89" s="50" t="inlineStr">
        <is>
          <t>Reduction on in/out of state travel for council members and staff, the most significant impact is to staff travel to support statewide emergency preparedness work for people with disabilities, first responders and local planners. The result will be less statewide outreach and education and lead to people with disabilities/ their families in rural communities having less access to emergency planning and mitigation. Council member travel is already significantly reduced. Statewide travel for ABLE outreach, education and technical assistance will also be reduced, especially in frontier communities.</t>
        </is>
      </c>
    </row>
    <row r="90">
      <c r="A90" s="20">
        <f>_xlfn.TEXTJOIN("", TRUE, F90:H90)</f>
        <v/>
      </c>
      <c r="B90" s="21">
        <f>_xlfn.TEXTJOIN("", TRUE, I90:S90)</f>
        <v/>
      </c>
      <c r="C90" s="21">
        <f>IF(ISBLANK(X90),"", _xlfn.TEXTJOIN("",TRUE,T90:Z90))</f>
        <v/>
      </c>
      <c r="D90" s="21">
        <f>IF(ISBLANK(AB90), "", _xlfn.TEXTJOIN("", TRUE, AA90:AC90))</f>
        <v/>
      </c>
      <c r="E90" s="22">
        <f>IF(AU90="NA", _xlfn.TEXTJOIN("", TRUE, AD90:AH90), _xlfn.TEXTJOIN("", TRUE, AD90:AJ90))</f>
        <v/>
      </c>
      <c r="F90" s="42">
        <f>IF(LEFT(G90,4)="FY26","&lt;b&gt;","&lt;i&gt;")</f>
        <v/>
      </c>
      <c r="G90" s="42" t="inlineStr">
        <is>
          <t>FY26 Reduction</t>
        </is>
      </c>
      <c r="H90" s="42">
        <f>IF(LEFT(G90,4)="FY26","&lt;/b&gt;","&lt;/i&gt;")</f>
        <v/>
      </c>
      <c r="I90" s="43" t="inlineStr">
        <is>
          <t>&lt;i&gt;</t>
        </is>
      </c>
      <c r="J90" s="44" t="inlineStr">
        <is>
          <t>Judicial Branch</t>
        </is>
      </c>
      <c r="K90" s="44" t="inlineStr">
        <is>
          <t>&lt;/i&gt;</t>
        </is>
      </c>
      <c r="L90" s="4">
        <f>IF(ISBLANK(N90),"","&lt;br&gt;")</f>
        <v/>
      </c>
      <c r="M90" s="42">
        <f>IF(ISBLANK(R90),"&lt;b&gt;","&lt;i&gt;")</f>
        <v/>
      </c>
      <c r="N90" s="42" t="inlineStr">
        <is>
          <t>Court Operations</t>
        </is>
      </c>
      <c r="O90" s="42">
        <f>IF(ISBLANK(R90),"&lt;/b&gt;","&lt;/i&gt;")</f>
        <v/>
      </c>
      <c r="P90" s="4">
        <f>IF(ISBLANK(R90),"","&lt;br&gt;")</f>
        <v/>
      </c>
      <c r="Q90" s="42">
        <f>IF(ISBLANK(R90),"","&lt;b&gt;")</f>
        <v/>
      </c>
      <c r="R90" s="42" t="n"/>
      <c r="S90" s="42">
        <f>IF(ISBLANK(R90),"","&lt;/i&gt;")</f>
        <v/>
      </c>
      <c r="T90" s="43">
        <f>IF(ISBLANK(X90),"",IF(OR(AB90="PASSED",ISBLANK(N90)),"&lt;b&gt;","&lt;i&gt;"))</f>
        <v/>
      </c>
      <c r="U90" s="3">
        <f>IF(ISBLANK(V90),"","&lt;a href='")</f>
        <v/>
      </c>
      <c r="V90" s="39" t="inlineStr">
        <is>
          <t>https://legislature.idaho.gov/sessioninfo/2026/legislation/S1331/</t>
        </is>
      </c>
      <c r="W90" s="17">
        <f>IF(ISBLANK(V90),"","'&gt;")</f>
        <v/>
      </c>
      <c r="X90" s="12" t="inlineStr">
        <is>
          <t>Senate Bill 1331</t>
        </is>
      </c>
      <c r="Y90" s="17">
        <f>IF(ISBLANK(X90),"","&lt;/a&gt;")</f>
        <v/>
      </c>
      <c r="Z90" s="42">
        <f>IF(ISBLANK(X90),"",IF(OR(AB90="PASSED",ISBLANK(N90)),"&lt;/b&gt;","&lt;/i&gt;"))</f>
        <v/>
      </c>
      <c r="AA90" s="43">
        <f>IF(AB90="PASSED","&lt;b&gt;","")</f>
        <v/>
      </c>
      <c r="AB90" s="45" t="inlineStr">
        <is>
          <t>PASSED</t>
        </is>
      </c>
      <c r="AC90" s="43">
        <f>IF(AB90="PASSED","&lt;/b&gt;","")</f>
        <v/>
      </c>
      <c r="AD90" s="43">
        <f>IF(ISBLANK(AE90),"","&lt;b&gt;")</f>
        <v/>
      </c>
      <c r="AE90" s="51" t="inlineStr">
        <is>
          <t>03/06</t>
        </is>
      </c>
      <c r="AF90" s="42">
        <f>IF(ISBLANK(AE90),"",": ")</f>
        <v/>
      </c>
      <c r="AG90" s="42" t="inlineStr">
        <is>
          <t>House Vote 48-22</t>
        </is>
      </c>
      <c r="AH90" s="42">
        <f>IF(ISBLANK(AE90),"","&lt;/b&gt;")</f>
        <v/>
      </c>
      <c r="AI90" s="42" t="inlineStr">
        <is>
          <t>03/02: Senate Vote 18-17&lt;br&gt;02/06: FY26 holdback (-4%)</t>
        </is>
      </c>
      <c r="AJ90" s="42">
        <f>IF(ISBLANK(AI90),"","&lt;br&gt;"&amp;AI90)</f>
        <v/>
      </c>
      <c r="AK90" s="4" t="inlineStr">
        <is>
          <t>&lt;br&gt;</t>
        </is>
      </c>
      <c r="AL90" s="42" t="inlineStr">
        <is>
          <t>&lt;b&gt;&lt;i&gt;</t>
        </is>
      </c>
      <c r="AM90" s="42" t="inlineStr">
        <is>
          <t>Governor's 3% + JFAC's 1%</t>
        </is>
      </c>
      <c r="AN90" s="42">
        <f>IF(ISBLANK(AM90),"","&lt;/i&gt;")</f>
        <v/>
      </c>
      <c r="AO90" s="35">
        <f>IF(ISBLANK(AQ90),"","&lt;/b&gt;&lt;br&gt;&lt;br&gt;")</f>
        <v/>
      </c>
      <c r="AP90" s="42">
        <f>IF(ISBLANK(AQ90),"","&lt;b&gt;")</f>
        <v/>
      </c>
      <c r="AQ90" s="47" t="inlineStr">
        <is>
          <t xml:space="preserve">Agency Reduction Plan:&lt;br&gt;Additional </t>
        </is>
      </c>
      <c r="AR90" s="42" t="inlineStr">
        <is>
          <t>1</t>
        </is>
      </c>
      <c r="AS90" s="4">
        <f>IF(ISBLANK(AR90),""," %")</f>
        <v/>
      </c>
      <c r="AT90" s="4">
        <f t="array" ref="AT90">_xlfn.IFS(NOT(ISBLANK(AU90))," (pgs. ",NOT(ISBLANK(AS90))," (pg. ", ISBLANK(AS90), "")</f>
        <v/>
      </c>
      <c r="AU90" s="52" t="n">
        <v>108</v>
      </c>
      <c r="AV90" s="4">
        <f>IF(ISBLANK(AW90),"",", ")</f>
        <v/>
      </c>
      <c r="AW90" s="42" t="n"/>
      <c r="AX90" s="4">
        <f>IF(ISBLANK(AY90),"",",&lt;br&gt;")</f>
        <v/>
      </c>
      <c r="AY90" s="42" t="n"/>
      <c r="AZ90" s="49">
        <f>IF(ISBLANK(AU90),"",")&lt;/b&gt;")</f>
        <v/>
      </c>
      <c r="BA90" s="4">
        <f>IF(ISBLANK(BC90),"","&lt;br&gt;")</f>
        <v/>
      </c>
      <c r="BB90" s="42">
        <f t="array" ref="BB90">IF(ISBLANK(BC90),"",_xlfn.LET(
_xlpm.words,_xlfn.TEXTSPLIT(TRIM(BC90),"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90" s="50" t="inlineStr">
        <is>
          <t>In developing this proposal, the Court carefully evaluated the potential impact of these reductions on court services and related programs and sought to minimize adverse effects. The proposed reductions are achieved primarily by reallocating certain expenditures currently funded by general fund appropriations to the Court’s dedicated funds, thereby avoiding reductions to services in the current year... Should the necessary spending authority increases not be approved, the Court would be required to implement direct reductions to essential court services and systems. These actions would include cuts to treatment courts, family court services, and child protection programs, as well as the elimination of certain court technology systems that support the statewide network. Decreased funding for treatment services would limit the number of persons that could be admitted to our treatment courts, removing that sentencing option for high-risk, high-need individuals. Reductions in family court services would result in delayed case processing and reduced access to critical support services for families and children. Reduced investment in statewide network security would increase the risk of system vulnerabilities, service disruptions, and potential data breaches, compromising the integrity and availability of court operations statewide.</t>
        </is>
      </c>
    </row>
    <row r="91">
      <c r="A91" s="20">
        <f>_xlfn.TEXTJOIN("", TRUE, F91:H91)</f>
        <v/>
      </c>
      <c r="B91" s="21">
        <f>_xlfn.TEXTJOIN("", TRUE, I91:S91)</f>
        <v/>
      </c>
      <c r="C91" s="21">
        <f>IF(ISBLANK(X91),"", _xlfn.TEXTJOIN("",TRUE,T91:Z91))</f>
        <v/>
      </c>
      <c r="D91" s="21">
        <f>IF(ISBLANK(AB91), "", _xlfn.TEXTJOIN("", TRUE, AA91:AC91))</f>
        <v/>
      </c>
      <c r="E91" s="22">
        <f>IF(AU91="NA", _xlfn.TEXTJOIN("", TRUE, AD91:AH91), _xlfn.TEXTJOIN("", TRUE, AD91:AJ91))</f>
        <v/>
      </c>
      <c r="F91" s="42">
        <f>IF(LEFT(G91,4)="FY26","&lt;b&gt;","&lt;i&gt;")</f>
        <v/>
      </c>
      <c r="G91" s="42" t="inlineStr">
        <is>
          <t>FY26 Reduction</t>
        </is>
      </c>
      <c r="H91" s="42">
        <f>IF(LEFT(G91,4)="FY26","&lt;/b&gt;","&lt;/i&gt;")</f>
        <v/>
      </c>
      <c r="I91" s="43" t="inlineStr">
        <is>
          <t>&lt;i&gt;</t>
        </is>
      </c>
      <c r="J91" s="44" t="inlineStr">
        <is>
          <t>Judicial Branch</t>
        </is>
      </c>
      <c r="K91" s="44" t="inlineStr">
        <is>
          <t>&lt;/i&gt;</t>
        </is>
      </c>
      <c r="L91" s="4">
        <f>IF(ISBLANK(N91),"","&lt;br&gt;")</f>
        <v/>
      </c>
      <c r="M91" s="42">
        <f>IF(ISBLANK(R91),"&lt;b&gt;","&lt;i&gt;")</f>
        <v/>
      </c>
      <c r="N91" s="42" t="inlineStr">
        <is>
          <t>Guardian Ad Litem Program</t>
        </is>
      </c>
      <c r="O91" s="42">
        <f>IF(ISBLANK(R91),"&lt;/b&gt;","&lt;/i&gt;")</f>
        <v/>
      </c>
      <c r="P91" s="4">
        <f>IF(ISBLANK(R91),"","&lt;br&gt;")</f>
        <v/>
      </c>
      <c r="Q91" s="42">
        <f>IF(ISBLANK(R91),"","&lt;b&gt;")</f>
        <v/>
      </c>
      <c r="R91" s="42" t="n"/>
      <c r="S91" s="42">
        <f>IF(ISBLANK(R91),"","&lt;/i&gt;")</f>
        <v/>
      </c>
      <c r="T91" s="43">
        <f>IF(ISBLANK(X91),"",IF(OR(AB91="PASSED",ISBLANK(N91)),"&lt;b&gt;","&lt;i&gt;"))</f>
        <v/>
      </c>
      <c r="U91" s="3">
        <f>IF(ISBLANK(V91),"","&lt;a href='")</f>
        <v/>
      </c>
      <c r="V91" s="39" t="inlineStr">
        <is>
          <t>https://legislature.idaho.gov/sessioninfo/2026/legislation/S1331/</t>
        </is>
      </c>
      <c r="W91" s="17">
        <f>IF(ISBLANK(V91),"","'&gt;")</f>
        <v/>
      </c>
      <c r="X91" s="12" t="inlineStr">
        <is>
          <t>Senate Bill 1331</t>
        </is>
      </c>
      <c r="Y91" s="17">
        <f>IF(ISBLANK(X91),"","&lt;/a&gt;")</f>
        <v/>
      </c>
      <c r="Z91" s="42">
        <f>IF(ISBLANK(X91),"",IF(OR(AB91="PASSED",ISBLANK(N91)),"&lt;/b&gt;","&lt;/i&gt;"))</f>
        <v/>
      </c>
      <c r="AA91" s="43">
        <f>IF(AB91="PASSED","&lt;b&gt;","")</f>
        <v/>
      </c>
      <c r="AB91" s="45" t="inlineStr">
        <is>
          <t>PASSED</t>
        </is>
      </c>
      <c r="AC91" s="43">
        <f>IF(AB91="PASSED","&lt;/b&gt;","")</f>
        <v/>
      </c>
      <c r="AD91" s="43">
        <f>IF(ISBLANK(AE91),"","&lt;b&gt;")</f>
        <v/>
      </c>
      <c r="AE91" s="51" t="inlineStr">
        <is>
          <t>03/06</t>
        </is>
      </c>
      <c r="AF91" s="42">
        <f>IF(ISBLANK(AE91),"",": ")</f>
        <v/>
      </c>
      <c r="AG91" s="42" t="inlineStr">
        <is>
          <t>House Vote 48-22</t>
        </is>
      </c>
      <c r="AH91" s="42">
        <f>IF(ISBLANK(AE91),"","&lt;/b&gt;")</f>
        <v/>
      </c>
      <c r="AI91" s="42" t="inlineStr">
        <is>
          <t>03/02: Senate Vote 18-17&lt;br&gt;02/06: FY26 holdback (-4%)</t>
        </is>
      </c>
      <c r="AJ91" s="42">
        <f>IF(ISBLANK(AI91),"","&lt;br&gt;"&amp;AI91)</f>
        <v/>
      </c>
      <c r="AK91" s="4" t="inlineStr">
        <is>
          <t>&lt;br&gt;</t>
        </is>
      </c>
      <c r="AL91" s="42" t="inlineStr">
        <is>
          <t>&lt;b&gt;&lt;i&gt;</t>
        </is>
      </c>
      <c r="AM91" s="42" t="inlineStr">
        <is>
          <t>Governor's 3% + JFAC's 1%</t>
        </is>
      </c>
      <c r="AN91" s="42">
        <f>IF(ISBLANK(AM91),"","&lt;/i&gt;")</f>
        <v/>
      </c>
      <c r="AO91" s="35">
        <f>IF(ISBLANK(AQ91),"","&lt;/b&gt;&lt;br&gt;&lt;br&gt;")</f>
        <v/>
      </c>
      <c r="AP91" s="42">
        <f>IF(ISBLANK(AQ91),"","&lt;b&gt;")</f>
        <v/>
      </c>
      <c r="AQ91" s="47" t="inlineStr">
        <is>
          <t xml:space="preserve">Agency Reduction Plan:&lt;br&gt;Additional </t>
        </is>
      </c>
      <c r="AR91" s="42" t="inlineStr">
        <is>
          <t>1</t>
        </is>
      </c>
      <c r="AS91" s="4">
        <f>IF(ISBLANK(AR91),""," %")</f>
        <v/>
      </c>
      <c r="AT91" s="4">
        <f t="array" ref="AT91">_xlfn.IFS(NOT(ISBLANK(AU91))," (pgs. ",NOT(ISBLANK(AS91))," (pg. ", ISBLANK(AS91), "")</f>
        <v/>
      </c>
      <c r="AU91" s="52" t="n">
        <v>109</v>
      </c>
      <c r="AV91" s="4">
        <f>IF(ISBLANK(AW91),"",", ")</f>
        <v/>
      </c>
      <c r="AW91" s="42" t="n"/>
      <c r="AX91" s="4">
        <f>IF(ISBLANK(AY91),"",",&lt;br&gt;")</f>
        <v/>
      </c>
      <c r="AY91" s="42" t="n"/>
      <c r="AZ91" s="49">
        <f>IF(ISBLANK(AU91),"",")&lt;/b&gt;")</f>
        <v/>
      </c>
      <c r="BA91" s="4">
        <f>IF(ISBLANK(BC91),"","&lt;br&gt;")</f>
        <v/>
      </c>
      <c r="BB91" s="42">
        <f t="array" ref="BB91">IF(ISBLANK(BC91),"",_xlfn.LET(
_xlpm.words,_xlfn.TEXTSPLIT(TRIM(BC91),"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91" s="50" t="inlineStr">
        <is>
          <t>5% reduction in passthrough funding</t>
        </is>
      </c>
    </row>
    <row r="92">
      <c r="A92" s="20">
        <f>_xlfn.TEXTJOIN("", TRUE, F92:H92)</f>
        <v/>
      </c>
      <c r="B92" s="21">
        <f>_xlfn.TEXTJOIN("", TRUE, I92:S92)</f>
        <v/>
      </c>
      <c r="C92" s="21">
        <f>IF(ISBLANK(X92),"", _xlfn.TEXTJOIN("",TRUE,T92:Z92))</f>
        <v/>
      </c>
      <c r="D92" s="21">
        <f>IF(ISBLANK(AB92), "", _xlfn.TEXTJOIN("", TRUE, AA92:AC92))</f>
        <v/>
      </c>
      <c r="E92" s="22">
        <f>IF(AU92="NA", _xlfn.TEXTJOIN("", TRUE, AD92:AH92), _xlfn.TEXTJOIN("", TRUE, AD92:AJ92))</f>
        <v/>
      </c>
      <c r="F92" s="42">
        <f>IF(LEFT(G92,4)="FY26","&lt;b&gt;","&lt;i&gt;")</f>
        <v/>
      </c>
      <c r="G92" s="42" t="inlineStr">
        <is>
          <t>FY26 Reduction</t>
        </is>
      </c>
      <c r="H92" s="42">
        <f>IF(LEFT(G92,4)="FY26","&lt;/b&gt;","&lt;/i&gt;")</f>
        <v/>
      </c>
      <c r="I92" s="43" t="inlineStr">
        <is>
          <t>&lt;i&gt;</t>
        </is>
      </c>
      <c r="J92" s="44" t="inlineStr">
        <is>
          <t>Judicial Branch</t>
        </is>
      </c>
      <c r="K92" s="44" t="inlineStr">
        <is>
          <t>&lt;/i&gt;</t>
        </is>
      </c>
      <c r="L92" s="4">
        <f>IF(ISBLANK(N92),"","&lt;br&gt;")</f>
        <v/>
      </c>
      <c r="M92" s="42">
        <f>IF(ISBLANK(R92),"&lt;b&gt;","&lt;i&gt;")</f>
        <v/>
      </c>
      <c r="N92" s="42" t="inlineStr">
        <is>
          <t>Judicial Council</t>
        </is>
      </c>
      <c r="O92" s="42">
        <f>IF(ISBLANK(R92),"&lt;/b&gt;","&lt;/i&gt;")</f>
        <v/>
      </c>
      <c r="P92" s="4">
        <f>IF(ISBLANK(R92),"","&lt;br&gt;")</f>
        <v/>
      </c>
      <c r="Q92" s="42">
        <f>IF(ISBLANK(R92),"","&lt;b&gt;")</f>
        <v/>
      </c>
      <c r="R92" s="42" t="n"/>
      <c r="S92" s="42">
        <f>IF(ISBLANK(R92),"","&lt;/i&gt;")</f>
        <v/>
      </c>
      <c r="T92" s="43">
        <f>IF(ISBLANK(X92),"",IF(OR(AB92="PASSED",ISBLANK(N92)),"&lt;b&gt;","&lt;i&gt;"))</f>
        <v/>
      </c>
      <c r="U92" s="3">
        <f>IF(ISBLANK(V92),"","&lt;a href='")</f>
        <v/>
      </c>
      <c r="V92" s="39" t="inlineStr">
        <is>
          <t>https://legislature.idaho.gov/sessioninfo/2026/legislation/S1331/</t>
        </is>
      </c>
      <c r="W92" s="17">
        <f>IF(ISBLANK(V92),"","'&gt;")</f>
        <v/>
      </c>
      <c r="X92" s="12" t="inlineStr">
        <is>
          <t>Senate Bill 1331</t>
        </is>
      </c>
      <c r="Y92" s="17">
        <f>IF(ISBLANK(X92),"","&lt;/a&gt;")</f>
        <v/>
      </c>
      <c r="Z92" s="42">
        <f>IF(ISBLANK(X92),"",IF(OR(AB92="PASSED",ISBLANK(N92)),"&lt;/b&gt;","&lt;/i&gt;"))</f>
        <v/>
      </c>
      <c r="AA92" s="43">
        <f>IF(AB92="PASSED","&lt;b&gt;","")</f>
        <v/>
      </c>
      <c r="AB92" s="45" t="inlineStr">
        <is>
          <t>PASSED</t>
        </is>
      </c>
      <c r="AC92" s="43">
        <f>IF(AB92="PASSED","&lt;/b&gt;","")</f>
        <v/>
      </c>
      <c r="AD92" s="43">
        <f>IF(ISBLANK(AE92),"","&lt;b&gt;")</f>
        <v/>
      </c>
      <c r="AE92" s="51" t="inlineStr">
        <is>
          <t>03/06</t>
        </is>
      </c>
      <c r="AF92" s="42">
        <f>IF(ISBLANK(AE92),"",": ")</f>
        <v/>
      </c>
      <c r="AG92" s="42" t="inlineStr">
        <is>
          <t>House Vote 48-22</t>
        </is>
      </c>
      <c r="AH92" s="42">
        <f>IF(ISBLANK(AE92),"","&lt;/b&gt;")</f>
        <v/>
      </c>
      <c r="AI92" s="42" t="inlineStr">
        <is>
          <t>03/02: Senate Vote 18-17&lt;br&gt;02/06: FY26 holdback (-4%)</t>
        </is>
      </c>
      <c r="AJ92" s="42">
        <f>IF(ISBLANK(AI92),"","&lt;br&gt;"&amp;AI92)</f>
        <v/>
      </c>
      <c r="AK92" s="4" t="inlineStr">
        <is>
          <t>&lt;br&gt;</t>
        </is>
      </c>
      <c r="AL92" s="42" t="inlineStr">
        <is>
          <t>&lt;b&gt;&lt;i&gt;</t>
        </is>
      </c>
      <c r="AM92" s="42" t="inlineStr">
        <is>
          <t>Governor's 3% + JFAC's 1%</t>
        </is>
      </c>
      <c r="AN92" s="42">
        <f>IF(ISBLANK(AM92),"","&lt;/i&gt;")</f>
        <v/>
      </c>
      <c r="AO92" s="35">
        <f>IF(ISBLANK(AQ92),"","&lt;/b&gt;&lt;br&gt;&lt;br&gt;")</f>
        <v/>
      </c>
      <c r="AP92" s="42">
        <f>IF(ISBLANK(AQ92),"","&lt;b&gt;")</f>
        <v/>
      </c>
      <c r="AQ92" s="47" t="inlineStr">
        <is>
          <t xml:space="preserve">Agency Reduction Plan:&lt;br&gt;Additional </t>
        </is>
      </c>
      <c r="AR92" s="42" t="inlineStr">
        <is>
          <t>1</t>
        </is>
      </c>
      <c r="AS92" s="4">
        <f>IF(ISBLANK(AR92),""," %")</f>
        <v/>
      </c>
      <c r="AT92" s="4">
        <f t="array" ref="AT92">_xlfn.IFS(NOT(ISBLANK(AU92))," (pgs. ",NOT(ISBLANK(AS92))," (pg. ", ISBLANK(AS92), "")</f>
        <v/>
      </c>
      <c r="AU92" s="52" t="n">
        <v>109</v>
      </c>
      <c r="AV92" s="4">
        <f>IF(ISBLANK(AW92),"",", ")</f>
        <v/>
      </c>
      <c r="AW92" s="42" t="n"/>
      <c r="AX92" s="4">
        <f>IF(ISBLANK(AY92),"",",&lt;br&gt;")</f>
        <v/>
      </c>
      <c r="AY92" s="42" t="n"/>
      <c r="AZ92" s="49">
        <f>IF(ISBLANK(AU92),"",")&lt;/b&gt;")</f>
        <v/>
      </c>
      <c r="BA92" s="4">
        <f>IF(ISBLANK(BC92),"","&lt;br&gt;")</f>
        <v/>
      </c>
      <c r="BB92" s="42">
        <f t="array" ref="BB92">IF(ISBLANK(BC92),"",_xlfn.LET(
_xlpm.words,_xlfn.TEXTSPLIT(TRIM(BC92),"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92" s="50" t="inlineStr">
        <is>
          <t>5% reduction in passthrough funding</t>
        </is>
      </c>
    </row>
    <row r="93">
      <c r="A93" s="20">
        <f>_xlfn.TEXTJOIN("", TRUE, F93:H93)</f>
        <v/>
      </c>
      <c r="B93" s="21">
        <f>_xlfn.TEXTJOIN("", TRUE, I93:S93)</f>
        <v/>
      </c>
      <c r="C93" s="21">
        <f>IF(ISBLANK(X93),"", _xlfn.TEXTJOIN("",TRUE,T93:Z93))</f>
        <v/>
      </c>
      <c r="D93" s="21">
        <f>IF(ISBLANK(AB93), "", _xlfn.TEXTJOIN("", TRUE, AA93:AC93))</f>
        <v/>
      </c>
      <c r="E93" s="22">
        <f>IF(AU93="NA", _xlfn.TEXTJOIN("", TRUE, AD93:AH93), _xlfn.TEXTJOIN("", TRUE, AD93:AJ93))</f>
        <v/>
      </c>
      <c r="F93" s="42">
        <f>IF(LEFT(G93,4)="FY26","&lt;b&gt;","&lt;i&gt;")</f>
        <v/>
      </c>
      <c r="G93" s="42" t="inlineStr">
        <is>
          <t>FY26 Reduction</t>
        </is>
      </c>
      <c r="H93" s="42">
        <f>IF(LEFT(G93,4)="FY26","&lt;/b&gt;","&lt;/i&gt;")</f>
        <v/>
      </c>
      <c r="I93" s="43" t="inlineStr">
        <is>
          <t>&lt;i&gt;</t>
        </is>
      </c>
      <c r="J93" s="44" t="inlineStr">
        <is>
          <t>Legislative Branch</t>
        </is>
      </c>
      <c r="K93" s="44" t="inlineStr">
        <is>
          <t>&lt;/i&gt;</t>
        </is>
      </c>
      <c r="L93" s="4">
        <f>IF(ISBLANK(N93),"","&lt;br&gt;")</f>
        <v/>
      </c>
      <c r="M93" s="42">
        <f>IF(ISBLANK(R93),"&lt;b&gt;","&lt;i&gt;")</f>
        <v/>
      </c>
      <c r="N93" s="42" t="inlineStr">
        <is>
          <t>Legislative Services Office</t>
        </is>
      </c>
      <c r="O93" s="42">
        <f>IF(ISBLANK(R93),"&lt;/b&gt;","&lt;/i&gt;")</f>
        <v/>
      </c>
      <c r="P93" s="4">
        <f>IF(ISBLANK(R93),"","&lt;br&gt;")</f>
        <v/>
      </c>
      <c r="Q93" s="42">
        <f>IF(ISBLANK(R93),"","&lt;b&gt;")</f>
        <v/>
      </c>
      <c r="R93" s="42" t="n"/>
      <c r="S93" s="42">
        <f>IF(ISBLANK(R93),"","&lt;/i&gt;")</f>
        <v/>
      </c>
      <c r="T93" s="43">
        <f>IF(ISBLANK(X93),"",IF(OR(AB93="PASSED",ISBLANK(N93)),"&lt;b&gt;","&lt;i&gt;"))</f>
        <v/>
      </c>
      <c r="U93" s="3">
        <f>IF(ISBLANK(V93),"","&lt;a href='")</f>
        <v/>
      </c>
      <c r="V93" s="39" t="inlineStr">
        <is>
          <t>https://legislature.idaho.gov/sessioninfo/2026/legislation/S1331/</t>
        </is>
      </c>
      <c r="W93" s="17">
        <f>IF(ISBLANK(V93),"","'&gt;")</f>
        <v/>
      </c>
      <c r="X93" s="12" t="inlineStr">
        <is>
          <t>Senate Bill 1331</t>
        </is>
      </c>
      <c r="Y93" s="17">
        <f>IF(ISBLANK(X93),"","&lt;/a&gt;")</f>
        <v/>
      </c>
      <c r="Z93" s="42">
        <f>IF(ISBLANK(X93),"",IF(OR(AB93="PASSED",ISBLANK(N93)),"&lt;/b&gt;","&lt;/i&gt;"))</f>
        <v/>
      </c>
      <c r="AA93" s="43">
        <f>IF(AB93="PASSED","&lt;b&gt;","")</f>
        <v/>
      </c>
      <c r="AB93" s="45" t="inlineStr">
        <is>
          <t>PASSED</t>
        </is>
      </c>
      <c r="AC93" s="43">
        <f>IF(AB93="PASSED","&lt;/b&gt;","")</f>
        <v/>
      </c>
      <c r="AD93" s="43">
        <f>IF(ISBLANK(AE93),"","&lt;b&gt;")</f>
        <v/>
      </c>
      <c r="AE93" s="51" t="inlineStr">
        <is>
          <t>03/06</t>
        </is>
      </c>
      <c r="AF93" s="42">
        <f>IF(ISBLANK(AE93),"",": ")</f>
        <v/>
      </c>
      <c r="AG93" s="42" t="inlineStr">
        <is>
          <t>House Vote 48-22</t>
        </is>
      </c>
      <c r="AH93" s="42">
        <f>IF(ISBLANK(AE93),"","&lt;/b&gt;")</f>
        <v/>
      </c>
      <c r="AI93" s="42" t="inlineStr">
        <is>
          <t>03/02: Senate Vote 18-17&lt;br&gt;02/06: FY26 holdback (-4%)</t>
        </is>
      </c>
      <c r="AJ93" s="42">
        <f>IF(ISBLANK(AI93),"","&lt;br&gt;"&amp;AI93)</f>
        <v/>
      </c>
      <c r="AK93" s="4" t="inlineStr">
        <is>
          <t>&lt;br&gt;</t>
        </is>
      </c>
      <c r="AL93" s="42" t="inlineStr">
        <is>
          <t>&lt;b&gt;&lt;i&gt;</t>
        </is>
      </c>
      <c r="AM93" s="42" t="inlineStr">
        <is>
          <t>Governor's 3% + JFAC's 1%</t>
        </is>
      </c>
      <c r="AN93" s="42">
        <f>IF(ISBLANK(AM93),"","&lt;/i&gt;")</f>
        <v/>
      </c>
      <c r="AO93" s="35">
        <f>IF(ISBLANK(AQ93),"","&lt;/b&gt;&lt;br&gt;&lt;br&gt;")</f>
        <v/>
      </c>
      <c r="AP93" s="42">
        <f>IF(ISBLANK(AQ93),"","&lt;b&gt;")</f>
        <v/>
      </c>
      <c r="AQ93" s="47" t="inlineStr">
        <is>
          <t xml:space="preserve">Agency Reduction Plan:&lt;br&gt;Additional </t>
        </is>
      </c>
      <c r="AR93" s="42" t="inlineStr">
        <is>
          <t>1</t>
        </is>
      </c>
      <c r="AS93" s="4">
        <f>IF(ISBLANK(AR93),""," %")</f>
        <v/>
      </c>
      <c r="AT93" s="4">
        <f t="array" ref="AT93">_xlfn.IFS(NOT(ISBLANK(AU93))," (pgs. ",NOT(ISBLANK(AS93))," (pg. ", ISBLANK(AS93), "")</f>
        <v/>
      </c>
      <c r="AU93" s="52" t="n">
        <v>226</v>
      </c>
      <c r="AV93" s="4">
        <f>IF(ISBLANK(AW93),"",", ")</f>
        <v/>
      </c>
      <c r="AW93" s="42" t="n"/>
      <c r="AX93" s="4">
        <f>IF(ISBLANK(AY93),"",",&lt;br&gt;")</f>
        <v/>
      </c>
      <c r="AY93" s="42" t="n"/>
      <c r="AZ93" s="49">
        <f>IF(ISBLANK(AU93),"",")&lt;/b&gt;")</f>
        <v/>
      </c>
      <c r="BA93" s="4">
        <f>IF(ISBLANK(BC93),"","&lt;br&gt;")</f>
        <v/>
      </c>
      <c r="BB93" s="42">
        <f t="array" ref="BB93">IF(ISBLANK(BC93),"",_xlfn.LET(
_xlpm.words,_xlfn.TEXTSPLIT(TRIM(BC93),"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93" s="50" t="inlineStr">
        <is>
          <t>The reductions to achieve an additional 1% or 2% in either FY 2026 or FY 2027 will be primarily from Personnel Costs. Options include: 1. Keeping positions vacant for as long as practical, 2. Rehiring at entry level, or 3. Furloughing staff (each 1% reduction is equal to three days of unpaid leave for all staff). The affected programs or services would depend on which positions, if any, become vacant and for how long. The impact could include increased time for bill drafting, budget analysis, IT support, and financial audits. Reducing session staff beyond the current year could further reduce the Legislative Information Center hours available to the public.</t>
        </is>
      </c>
    </row>
    <row r="94">
      <c r="A94" s="20">
        <f>_xlfn.TEXTJOIN("", TRUE, F94:H94)</f>
        <v/>
      </c>
      <c r="B94" s="21">
        <f>_xlfn.TEXTJOIN("", TRUE, I94:S94)</f>
        <v/>
      </c>
      <c r="C94" s="21">
        <f>IF(ISBLANK(X94),"", _xlfn.TEXTJOIN("",TRUE,T94:Z94))</f>
        <v/>
      </c>
      <c r="D94" s="21">
        <f>IF(ISBLANK(AB94), "", _xlfn.TEXTJOIN("", TRUE, AA94:AC94))</f>
        <v/>
      </c>
      <c r="E94" s="22">
        <f>IF(AU94="NA", _xlfn.TEXTJOIN("", TRUE, AD94:AH94), _xlfn.TEXTJOIN("", TRUE, AD94:AJ94))</f>
        <v/>
      </c>
      <c r="F94" s="42">
        <f>IF(LEFT(G94,4)="FY26","&lt;b&gt;","&lt;i&gt;")</f>
        <v/>
      </c>
      <c r="G94" s="42" t="inlineStr">
        <is>
          <t>FY26 Reduction</t>
        </is>
      </c>
      <c r="H94" s="42">
        <f>IF(LEFT(G94,4)="FY26","&lt;/b&gt;","&lt;/i&gt;")</f>
        <v/>
      </c>
      <c r="I94" s="43" t="inlineStr">
        <is>
          <t>&lt;i&gt;</t>
        </is>
      </c>
      <c r="J94" s="44" t="inlineStr">
        <is>
          <t>Legislative Branch</t>
        </is>
      </c>
      <c r="K94" s="44" t="inlineStr">
        <is>
          <t>&lt;/i&gt;</t>
        </is>
      </c>
      <c r="L94" s="4">
        <f>IF(ISBLANK(N94),"","&lt;br&gt;")</f>
        <v/>
      </c>
      <c r="M94" s="42">
        <f>IF(ISBLANK(R94),"&lt;b&gt;","&lt;i&gt;")</f>
        <v/>
      </c>
      <c r="N94" s="42" t="inlineStr">
        <is>
          <t>Legislative Technology</t>
        </is>
      </c>
      <c r="O94" s="42">
        <f>IF(ISBLANK(R94),"&lt;/b&gt;","&lt;/i&gt;")</f>
        <v/>
      </c>
      <c r="P94" s="4">
        <f>IF(ISBLANK(R94),"","&lt;br&gt;")</f>
        <v/>
      </c>
      <c r="Q94" s="42">
        <f>IF(ISBLANK(R94),"","&lt;b&gt;")</f>
        <v/>
      </c>
      <c r="R94" s="42" t="n"/>
      <c r="S94" s="42">
        <f>IF(ISBLANK(R94),"","&lt;/i&gt;")</f>
        <v/>
      </c>
      <c r="T94" s="43">
        <f>IF(ISBLANK(X94),"",IF(OR(AB94="PASSED",ISBLANK(N94)),"&lt;b&gt;","&lt;i&gt;"))</f>
        <v/>
      </c>
      <c r="U94" s="3">
        <f>IF(ISBLANK(V94),"","&lt;a href='")</f>
        <v/>
      </c>
      <c r="V94" s="39" t="inlineStr">
        <is>
          <t>https://legislature.idaho.gov/sessioninfo/2026/legislation/S1331/</t>
        </is>
      </c>
      <c r="W94" s="17">
        <f>IF(ISBLANK(V94),"","'&gt;")</f>
        <v/>
      </c>
      <c r="X94" s="12" t="inlineStr">
        <is>
          <t>Senate Bill 1331</t>
        </is>
      </c>
      <c r="Y94" s="17">
        <f>IF(ISBLANK(X94),"","&lt;/a&gt;")</f>
        <v/>
      </c>
      <c r="Z94" s="42">
        <f>IF(ISBLANK(X94),"",IF(OR(AB94="PASSED",ISBLANK(N94)),"&lt;/b&gt;","&lt;/i&gt;"))</f>
        <v/>
      </c>
      <c r="AA94" s="43">
        <f>IF(AB94="PASSED","&lt;b&gt;","")</f>
        <v/>
      </c>
      <c r="AB94" s="45" t="inlineStr">
        <is>
          <t>PASSED</t>
        </is>
      </c>
      <c r="AC94" s="43">
        <f>IF(AB94="PASSED","&lt;/b&gt;","")</f>
        <v/>
      </c>
      <c r="AD94" s="43">
        <f>IF(ISBLANK(AE94),"","&lt;b&gt;")</f>
        <v/>
      </c>
      <c r="AE94" s="51" t="inlineStr">
        <is>
          <t>03/06</t>
        </is>
      </c>
      <c r="AF94" s="42">
        <f>IF(ISBLANK(AE94),"",": ")</f>
        <v/>
      </c>
      <c r="AG94" s="42" t="inlineStr">
        <is>
          <t>House Vote 48-22</t>
        </is>
      </c>
      <c r="AH94" s="42">
        <f>IF(ISBLANK(AE94),"","&lt;/b&gt;")</f>
        <v/>
      </c>
      <c r="AI94" s="42" t="inlineStr">
        <is>
          <t>03/02: Senate Vote 18-17&lt;br&gt;02/06: FY26 holdback (-4%)</t>
        </is>
      </c>
      <c r="AJ94" s="42">
        <f>IF(ISBLANK(AI94),"","&lt;br&gt;"&amp;AI94)</f>
        <v/>
      </c>
      <c r="AK94" s="4" t="inlineStr">
        <is>
          <t>&lt;br&gt;</t>
        </is>
      </c>
      <c r="AL94" s="42" t="inlineStr">
        <is>
          <t>&lt;b&gt;&lt;i&gt;</t>
        </is>
      </c>
      <c r="AM94" s="42" t="inlineStr">
        <is>
          <t>Governor's 3% + JFAC's 1%</t>
        </is>
      </c>
      <c r="AN94" s="42">
        <f>IF(ISBLANK(AM94),"","&lt;/i&gt;")</f>
        <v/>
      </c>
      <c r="AO94" s="35">
        <f>IF(ISBLANK(AQ94),"","&lt;/b&gt;&lt;br&gt;&lt;br&gt;")</f>
        <v/>
      </c>
      <c r="AP94" s="42">
        <f>IF(ISBLANK(AQ94),"","&lt;b&gt;")</f>
        <v/>
      </c>
      <c r="AQ94" s="47" t="inlineStr">
        <is>
          <t xml:space="preserve">Agency Reduction Plan:&lt;br&gt;Additional </t>
        </is>
      </c>
      <c r="AR94" s="42" t="inlineStr">
        <is>
          <t>1</t>
        </is>
      </c>
      <c r="AS94" s="4">
        <f>IF(ISBLANK(AR94),""," %")</f>
        <v/>
      </c>
      <c r="AT94" s="4">
        <f t="array" ref="AT94">_xlfn.IFS(NOT(ISBLANK(AU94))," (pgs. ",NOT(ISBLANK(AS94))," (pg. ", ISBLANK(AS94), "")</f>
        <v/>
      </c>
      <c r="AU94" s="52" t="inlineStr">
        <is>
          <t>NA</t>
        </is>
      </c>
      <c r="AV94" s="4">
        <f>IF(ISBLANK(AW94),"",", ")</f>
        <v/>
      </c>
      <c r="AW94" s="42" t="n"/>
      <c r="AX94" s="4">
        <f>IF(ISBLANK(AY94),"",",&lt;br&gt;")</f>
        <v/>
      </c>
      <c r="AY94" s="42" t="n"/>
      <c r="AZ94" s="49">
        <f>IF(ISBLANK(AU94),"",")&lt;/b&gt;")</f>
        <v/>
      </c>
      <c r="BA94" s="4">
        <f>IF(ISBLANK(BC94),"","&lt;br&gt;")</f>
        <v/>
      </c>
      <c r="BB94" s="42">
        <f t="array" ref="BB94">IF(ISBLANK(BC94),"",_xlfn.LET(
_xlpm.words,_xlfn.TEXTSPLIT(TRIM(BC94),"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94" s="50" t="n"/>
    </row>
    <row r="95">
      <c r="A95" s="20">
        <f>_xlfn.TEXTJOIN("", TRUE, F95:H95)</f>
        <v/>
      </c>
      <c r="B95" s="21">
        <f>_xlfn.TEXTJOIN("", TRUE, I95:S95)</f>
        <v/>
      </c>
      <c r="C95" s="21">
        <f>IF(ISBLANK(X95),"", _xlfn.TEXTJOIN("",TRUE,T95:Z95))</f>
        <v/>
      </c>
      <c r="D95" s="21">
        <f>IF(ISBLANK(AB95), "", _xlfn.TEXTJOIN("", TRUE, AA95:AC95))</f>
        <v/>
      </c>
      <c r="E95" s="22">
        <f>IF(AU95="NA", _xlfn.TEXTJOIN("", TRUE, AD95:AH95), _xlfn.TEXTJOIN("", TRUE, AD95:AJ95))</f>
        <v/>
      </c>
      <c r="F95" s="42">
        <f>IF(LEFT(G95,4)="FY26","&lt;b&gt;","&lt;i&gt;")</f>
        <v/>
      </c>
      <c r="G95" s="42" t="inlineStr">
        <is>
          <t>FY26 Reduction</t>
        </is>
      </c>
      <c r="H95" s="42">
        <f>IF(LEFT(G95,4)="FY26","&lt;/b&gt;","&lt;/i&gt;")</f>
        <v/>
      </c>
      <c r="I95" s="43" t="inlineStr">
        <is>
          <t>&lt;i&gt;</t>
        </is>
      </c>
      <c r="J95" s="44" t="inlineStr">
        <is>
          <t>Legislative Branch</t>
        </is>
      </c>
      <c r="K95" s="44" t="inlineStr">
        <is>
          <t>&lt;/i&gt;</t>
        </is>
      </c>
      <c r="L95" s="4">
        <f>IF(ISBLANK(N95),"","&lt;br&gt;")</f>
        <v/>
      </c>
      <c r="M95" s="42">
        <f>IF(ISBLANK(R95),"&lt;b&gt;","&lt;i&gt;")</f>
        <v/>
      </c>
      <c r="N95" s="42" t="inlineStr">
        <is>
          <t>Legislature</t>
        </is>
      </c>
      <c r="O95" s="42">
        <f>IF(ISBLANK(R95),"&lt;/b&gt;","&lt;/i&gt;")</f>
        <v/>
      </c>
      <c r="P95" s="4">
        <f>IF(ISBLANK(R95),"","&lt;br&gt;")</f>
        <v/>
      </c>
      <c r="Q95" s="42">
        <f>IF(ISBLANK(R95),"","&lt;b&gt;")</f>
        <v/>
      </c>
      <c r="R95" s="42" t="n"/>
      <c r="S95" s="42">
        <f>IF(ISBLANK(R95),"","&lt;/i&gt;")</f>
        <v/>
      </c>
      <c r="T95" s="43">
        <f>IF(ISBLANK(X95),"",IF(OR(AB95="PASSED",ISBLANK(N95)),"&lt;b&gt;","&lt;i&gt;"))</f>
        <v/>
      </c>
      <c r="U95" s="3">
        <f>IF(ISBLANK(V95),"","&lt;a href='")</f>
        <v/>
      </c>
      <c r="V95" s="39" t="inlineStr">
        <is>
          <t>https://legislature.idaho.gov/sessioninfo/2026/legislation/S1331/</t>
        </is>
      </c>
      <c r="W95" s="17">
        <f>IF(ISBLANK(V95),"","'&gt;")</f>
        <v/>
      </c>
      <c r="X95" s="12" t="inlineStr">
        <is>
          <t>Senate Bill 1331</t>
        </is>
      </c>
      <c r="Y95" s="17">
        <f>IF(ISBLANK(X95),"","&lt;/a&gt;")</f>
        <v/>
      </c>
      <c r="Z95" s="42">
        <f>IF(ISBLANK(X95),"",IF(OR(AB95="PASSED",ISBLANK(N95)),"&lt;/b&gt;","&lt;/i&gt;"))</f>
        <v/>
      </c>
      <c r="AA95" s="43">
        <f>IF(AB95="PASSED","&lt;b&gt;","")</f>
        <v/>
      </c>
      <c r="AB95" s="45" t="inlineStr">
        <is>
          <t>PASSED</t>
        </is>
      </c>
      <c r="AC95" s="43">
        <f>IF(AB95="PASSED","&lt;/b&gt;","")</f>
        <v/>
      </c>
      <c r="AD95" s="43">
        <f>IF(ISBLANK(AE95),"","&lt;b&gt;")</f>
        <v/>
      </c>
      <c r="AE95" s="51" t="inlineStr">
        <is>
          <t>03/06</t>
        </is>
      </c>
      <c r="AF95" s="42">
        <f>IF(ISBLANK(AE95),"",": ")</f>
        <v/>
      </c>
      <c r="AG95" s="42" t="inlineStr">
        <is>
          <t>House Vote 48-22</t>
        </is>
      </c>
      <c r="AH95" s="42">
        <f>IF(ISBLANK(AE95),"","&lt;/b&gt;")</f>
        <v/>
      </c>
      <c r="AI95" s="42" t="inlineStr">
        <is>
          <t>03/02: Senate Vote 18-17&lt;br&gt;02/06: FY26 holdback (-4%)</t>
        </is>
      </c>
      <c r="AJ95" s="42">
        <f>IF(ISBLANK(AI95),"","&lt;br&gt;"&amp;AI95)</f>
        <v/>
      </c>
      <c r="AK95" s="4" t="inlineStr">
        <is>
          <t>&lt;br&gt;</t>
        </is>
      </c>
      <c r="AL95" s="42" t="inlineStr">
        <is>
          <t>&lt;b&gt;&lt;i&gt;</t>
        </is>
      </c>
      <c r="AM95" s="42" t="inlineStr">
        <is>
          <t>Governor's 3% + JFAC's 1%</t>
        </is>
      </c>
      <c r="AN95" s="42">
        <f>IF(ISBLANK(AM95),"","&lt;/i&gt;")</f>
        <v/>
      </c>
      <c r="AO95" s="35">
        <f>IF(ISBLANK(AQ95),"","&lt;/b&gt;&lt;br&gt;&lt;br&gt;")</f>
        <v/>
      </c>
      <c r="AP95" s="42">
        <f>IF(ISBLANK(AQ95),"","&lt;b&gt;")</f>
        <v/>
      </c>
      <c r="AQ95" s="47" t="inlineStr">
        <is>
          <t xml:space="preserve">Agency Reduction Plan:&lt;br&gt;Additional </t>
        </is>
      </c>
      <c r="AR95" s="42" t="inlineStr">
        <is>
          <t>1</t>
        </is>
      </c>
      <c r="AS95" s="4">
        <f>IF(ISBLANK(AR95),""," %")</f>
        <v/>
      </c>
      <c r="AT95" s="4">
        <f t="array" ref="AT95">_xlfn.IFS(NOT(ISBLANK(AU95))," (pgs. ",NOT(ISBLANK(AS95))," (pg. ", ISBLANK(AS95), "")</f>
        <v/>
      </c>
      <c r="AU95" s="52" t="inlineStr">
        <is>
          <t>NA</t>
        </is>
      </c>
      <c r="AV95" s="4">
        <f>IF(ISBLANK(AW95),"",", ")</f>
        <v/>
      </c>
      <c r="AW95" s="42" t="n"/>
      <c r="AX95" s="4">
        <f>IF(ISBLANK(AY95),"",",&lt;br&gt;")</f>
        <v/>
      </c>
      <c r="AY95" s="42" t="n"/>
      <c r="AZ95" s="49">
        <f>IF(ISBLANK(AU95),"",")&lt;/b&gt;")</f>
        <v/>
      </c>
      <c r="BA95" s="4">
        <f>IF(ISBLANK(BC95),"","&lt;br&gt;")</f>
        <v/>
      </c>
      <c r="BB95" s="42">
        <f t="array" ref="BB95">IF(ISBLANK(BC95),"",_xlfn.LET(
_xlpm.words,_xlfn.TEXTSPLIT(TRIM(BC95),"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95" s="50" t="n"/>
    </row>
    <row r="96">
      <c r="A96" s="20">
        <f>_xlfn.TEXTJOIN("", TRUE, F96:H96)</f>
        <v/>
      </c>
      <c r="B96" s="21">
        <f>_xlfn.TEXTJOIN("", TRUE, I96:S96)</f>
        <v/>
      </c>
      <c r="C96" s="21">
        <f>IF(ISBLANK(X96),"", _xlfn.TEXTJOIN("",TRUE,T96:Z96))</f>
        <v/>
      </c>
      <c r="D96" s="21">
        <f>IF(ISBLANK(AB96), "", _xlfn.TEXTJOIN("", TRUE, AA96:AC96))</f>
        <v/>
      </c>
      <c r="E96" s="22">
        <f>IF(AU96="NA", _xlfn.TEXTJOIN("", TRUE, AD96:AH96), _xlfn.TEXTJOIN("", TRUE, AD96:AJ96))</f>
        <v/>
      </c>
      <c r="F96" s="42">
        <f>IF(LEFT(G96,4)="FY26","&lt;b&gt;","&lt;i&gt;")</f>
        <v/>
      </c>
      <c r="G96" s="42" t="inlineStr">
        <is>
          <t>FY26 Reduction</t>
        </is>
      </c>
      <c r="H96" s="42">
        <f>IF(LEFT(G96,4)="FY26","&lt;/b&gt;","&lt;/i&gt;")</f>
        <v/>
      </c>
      <c r="I96" s="43" t="inlineStr">
        <is>
          <t>&lt;i&gt;</t>
        </is>
      </c>
      <c r="J96" s="44" t="inlineStr">
        <is>
          <t>Legislative Branch</t>
        </is>
      </c>
      <c r="K96" s="44" t="inlineStr">
        <is>
          <t>&lt;/i&gt;</t>
        </is>
      </c>
      <c r="L96" s="4">
        <f>IF(ISBLANK(N96),"","&lt;br&gt;")</f>
        <v/>
      </c>
      <c r="M96" s="42">
        <f>IF(ISBLANK(R96),"&lt;b&gt;","&lt;i&gt;")</f>
        <v/>
      </c>
      <c r="N96" s="42" t="inlineStr">
        <is>
          <t>Office of Performance Evaluations</t>
        </is>
      </c>
      <c r="O96" s="42">
        <f>IF(ISBLANK(R96),"&lt;/b&gt;","&lt;/i&gt;")</f>
        <v/>
      </c>
      <c r="P96" s="4">
        <f>IF(ISBLANK(R96),"","&lt;br&gt;")</f>
        <v/>
      </c>
      <c r="Q96" s="42">
        <f>IF(ISBLANK(R96),"","&lt;b&gt;")</f>
        <v/>
      </c>
      <c r="R96" s="42" t="n"/>
      <c r="S96" s="42">
        <f>IF(ISBLANK(R96),"","&lt;/i&gt;")</f>
        <v/>
      </c>
      <c r="T96" s="43">
        <f>IF(ISBLANK(X96),"",IF(OR(AB96="PASSED",ISBLANK(N96)),"&lt;b&gt;","&lt;i&gt;"))</f>
        <v/>
      </c>
      <c r="U96" s="3">
        <f>IF(ISBLANK(V96),"","&lt;a href='")</f>
        <v/>
      </c>
      <c r="V96" s="39" t="inlineStr">
        <is>
          <t>https://legislature.idaho.gov/sessioninfo/2026/legislation/S1331/</t>
        </is>
      </c>
      <c r="W96" s="17">
        <f>IF(ISBLANK(V96),"","'&gt;")</f>
        <v/>
      </c>
      <c r="X96" s="12" t="inlineStr">
        <is>
          <t>Senate Bill 1331</t>
        </is>
      </c>
      <c r="Y96" s="17">
        <f>IF(ISBLANK(X96),"","&lt;/a&gt;")</f>
        <v/>
      </c>
      <c r="Z96" s="42">
        <f>IF(ISBLANK(X96),"",IF(OR(AB96="PASSED",ISBLANK(N96)),"&lt;/b&gt;","&lt;/i&gt;"))</f>
        <v/>
      </c>
      <c r="AA96" s="43">
        <f>IF(AB96="PASSED","&lt;b&gt;","")</f>
        <v/>
      </c>
      <c r="AB96" s="45" t="inlineStr">
        <is>
          <t>PASSED</t>
        </is>
      </c>
      <c r="AC96" s="43">
        <f>IF(AB96="PASSED","&lt;/b&gt;","")</f>
        <v/>
      </c>
      <c r="AD96" s="43">
        <f>IF(ISBLANK(AE96),"","&lt;b&gt;")</f>
        <v/>
      </c>
      <c r="AE96" s="51" t="inlineStr">
        <is>
          <t>03/06</t>
        </is>
      </c>
      <c r="AF96" s="42">
        <f>IF(ISBLANK(AE96),"",": ")</f>
        <v/>
      </c>
      <c r="AG96" s="42" t="inlineStr">
        <is>
          <t>House Vote 48-22</t>
        </is>
      </c>
      <c r="AH96" s="42">
        <f>IF(ISBLANK(AE96),"","&lt;/b&gt;")</f>
        <v/>
      </c>
      <c r="AI96" s="42" t="inlineStr">
        <is>
          <t>03/02: Senate Vote 18-17&lt;br&gt;02/06: FY26 holdback (-4%)</t>
        </is>
      </c>
      <c r="AJ96" s="42">
        <f>IF(ISBLANK(AI96),"","&lt;br&gt;"&amp;AI96)</f>
        <v/>
      </c>
      <c r="AK96" s="4" t="inlineStr">
        <is>
          <t>&lt;br&gt;</t>
        </is>
      </c>
      <c r="AL96" s="42" t="inlineStr">
        <is>
          <t>&lt;b&gt;&lt;i&gt;</t>
        </is>
      </c>
      <c r="AM96" s="42" t="inlineStr">
        <is>
          <t>Governor's 3% + JFAC's 1%</t>
        </is>
      </c>
      <c r="AN96" s="42">
        <f>IF(ISBLANK(AM96),"","&lt;/i&gt;")</f>
        <v/>
      </c>
      <c r="AO96" s="35">
        <f>IF(ISBLANK(AQ96),"","&lt;/b&gt;&lt;br&gt;&lt;br&gt;")</f>
        <v/>
      </c>
      <c r="AP96" s="42">
        <f>IF(ISBLANK(AQ96),"","&lt;b&gt;")</f>
        <v/>
      </c>
      <c r="AQ96" s="47" t="inlineStr">
        <is>
          <t xml:space="preserve">Agency Reduction Plan:&lt;br&gt;Additional </t>
        </is>
      </c>
      <c r="AR96" s="42" t="inlineStr">
        <is>
          <t>1</t>
        </is>
      </c>
      <c r="AS96" s="4">
        <f>IF(ISBLANK(AR96),""," %")</f>
        <v/>
      </c>
      <c r="AT96" s="4">
        <f t="array" ref="AT96">_xlfn.IFS(NOT(ISBLANK(AU96))," (pgs. ",NOT(ISBLANK(AS96))," (pg. ", ISBLANK(AS96), "")</f>
        <v/>
      </c>
      <c r="AU96" s="52" t="n">
        <v>228</v>
      </c>
      <c r="AV96" s="4">
        <f>IF(ISBLANK(AW96),"",", ")</f>
        <v/>
      </c>
      <c r="AW96" s="42" t="n"/>
      <c r="AX96" s="4">
        <f>IF(ISBLANK(AY96),"",",&lt;br&gt;")</f>
        <v/>
      </c>
      <c r="AY96" s="42" t="n"/>
      <c r="AZ96" s="49">
        <f>IF(ISBLANK(AU96),"",")&lt;/b&gt;")</f>
        <v/>
      </c>
      <c r="BA96" s="4">
        <f>IF(ISBLANK(BC96),"","&lt;br&gt;")</f>
        <v/>
      </c>
      <c r="BB96" s="42">
        <f t="array" ref="BB96">IF(ISBLANK(BC96),"",_xlfn.LET(
_xlpm.words,_xlfn.TEXTSPLIT(TRIM(BC96),"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96" s="50" t="inlineStr">
        <is>
          <t>OPE proposes reductions of an additional $11,300 in personnel spending authority for the 1% reduction scenario and $22,600 in personnel spending authority for the 2% reduction scenario. OPE experienced a departure of a Senior Evaluator in December. We are accruing salary savings while we are hiring a replacement, which we anticipate doing by March 1st. The entirety of both reduction scenarios would be accounted for by these salary savings. With these salary savings, we will not need to reduce staff or impose furloughs and the reductions would not affect OPE’s ability to complete program evaluations for the Legislature during the 2026 Legislative Session.</t>
        </is>
      </c>
    </row>
    <row r="97">
      <c r="A97" s="20">
        <f>_xlfn.TEXTJOIN("", TRUE, F97:H97)</f>
        <v/>
      </c>
      <c r="B97" s="21">
        <f>_xlfn.TEXTJOIN("", TRUE, I97:S97)</f>
        <v/>
      </c>
      <c r="C97" s="21">
        <f>IF(ISBLANK(X97),"", _xlfn.TEXTJOIN("",TRUE,T97:Z97))</f>
        <v/>
      </c>
      <c r="D97" s="21">
        <f>IF(ISBLANK(AB97), "", _xlfn.TEXTJOIN("", TRUE, AA97:AC97))</f>
        <v/>
      </c>
      <c r="E97" s="22">
        <f>IF(AU97="NA", _xlfn.TEXTJOIN("", TRUE, AD97:AH97), _xlfn.TEXTJOIN("", TRUE, AD97:AJ97))</f>
        <v/>
      </c>
      <c r="F97" s="42">
        <f>IF(LEFT(G97,4)="FY26","&lt;b&gt;","&lt;i&gt;")</f>
        <v/>
      </c>
      <c r="G97" s="42" t="inlineStr">
        <is>
          <t>FY26 Reduction</t>
        </is>
      </c>
      <c r="H97" s="42">
        <f>IF(LEFT(G97,4)="FY26","&lt;/b&gt;","&lt;/i&gt;")</f>
        <v/>
      </c>
      <c r="I97" s="43" t="inlineStr">
        <is>
          <t>&lt;i&gt;</t>
        </is>
      </c>
      <c r="J97" s="44" t="inlineStr">
        <is>
          <t>Natural Resources</t>
        </is>
      </c>
      <c r="K97" s="44" t="inlineStr">
        <is>
          <t>&lt;/i&gt;</t>
        </is>
      </c>
      <c r="L97" s="4">
        <f>IF(ISBLANK(N97),"","&lt;br&gt;")</f>
        <v/>
      </c>
      <c r="M97" s="42">
        <f>IF(ISBLANK(R97),"&lt;b&gt;","&lt;i&gt;")</f>
        <v/>
      </c>
      <c r="N97" s="42" t="inlineStr">
        <is>
          <t>Dept. of Environmental Quality</t>
        </is>
      </c>
      <c r="O97" s="42">
        <f>IF(ISBLANK(R97),"&lt;/b&gt;","&lt;/i&gt;")</f>
        <v/>
      </c>
      <c r="P97" s="4">
        <f>IF(ISBLANK(R97),"","&lt;br&gt;")</f>
        <v/>
      </c>
      <c r="Q97" s="42">
        <f>IF(ISBLANK(R97),"","&lt;b&gt;")</f>
        <v/>
      </c>
      <c r="R97" s="42" t="n"/>
      <c r="S97" s="42">
        <f>IF(ISBLANK(R97),"","&lt;/i&gt;")</f>
        <v/>
      </c>
      <c r="T97" s="43">
        <f>IF(ISBLANK(X97),"",IF(OR(AB97="PASSED",ISBLANK(N97)),"&lt;b&gt;","&lt;i&gt;"))</f>
        <v/>
      </c>
      <c r="U97" s="3">
        <f>IF(ISBLANK(V97),"","&lt;a href='")</f>
        <v/>
      </c>
      <c r="V97" s="39" t="inlineStr">
        <is>
          <t>https://legislature.idaho.gov/sessioninfo/2026/legislation/S1331/</t>
        </is>
      </c>
      <c r="W97" s="17">
        <f>IF(ISBLANK(V97),"","'&gt;")</f>
        <v/>
      </c>
      <c r="X97" s="12" t="inlineStr">
        <is>
          <t>Senate Bill 1331</t>
        </is>
      </c>
      <c r="Y97" s="17">
        <f>IF(ISBLANK(X97),"","&lt;/a&gt;")</f>
        <v/>
      </c>
      <c r="Z97" s="42">
        <f>IF(ISBLANK(X97),"",IF(OR(AB97="PASSED",ISBLANK(N97)),"&lt;/b&gt;","&lt;/i&gt;"))</f>
        <v/>
      </c>
      <c r="AA97" s="43">
        <f>IF(AB97="PASSED","&lt;b&gt;","")</f>
        <v/>
      </c>
      <c r="AB97" s="45" t="inlineStr">
        <is>
          <t>PASSED</t>
        </is>
      </c>
      <c r="AC97" s="43">
        <f>IF(AB97="PASSED","&lt;/b&gt;","")</f>
        <v/>
      </c>
      <c r="AD97" s="43">
        <f>IF(ISBLANK(AE97),"","&lt;b&gt;")</f>
        <v/>
      </c>
      <c r="AE97" s="51" t="inlineStr">
        <is>
          <t>03/06</t>
        </is>
      </c>
      <c r="AF97" s="42">
        <f>IF(ISBLANK(AE97),"",": ")</f>
        <v/>
      </c>
      <c r="AG97" s="42" t="inlineStr">
        <is>
          <t>House Vote 48-22</t>
        </is>
      </c>
      <c r="AH97" s="42">
        <f>IF(ISBLANK(AE97),"","&lt;/b&gt;")</f>
        <v/>
      </c>
      <c r="AI97" s="42" t="inlineStr">
        <is>
          <t>03/02: Senate Vote 18-17&lt;br&gt;02/06: FY26 holdback (-4%)</t>
        </is>
      </c>
      <c r="AJ97" s="42">
        <f>IF(ISBLANK(AI97),"","&lt;br&gt;"&amp;AI97)</f>
        <v/>
      </c>
      <c r="AK97" s="4" t="inlineStr">
        <is>
          <t>&lt;br&gt;</t>
        </is>
      </c>
      <c r="AL97" s="42" t="inlineStr">
        <is>
          <t>&lt;b&gt;&lt;i&gt;</t>
        </is>
      </c>
      <c r="AM97" s="42" t="inlineStr">
        <is>
          <t>Governor's 3% + JFAC's 1%</t>
        </is>
      </c>
      <c r="AN97" s="42">
        <f>IF(ISBLANK(AM97),"","&lt;/i&gt;")</f>
        <v/>
      </c>
      <c r="AO97" s="35">
        <f>IF(ISBLANK(AQ97),"","&lt;/b&gt;&lt;br&gt;&lt;br&gt;")</f>
        <v/>
      </c>
      <c r="AP97" s="42">
        <f>IF(ISBLANK(AQ97),"","&lt;b&gt;")</f>
        <v/>
      </c>
      <c r="AQ97" s="47" t="inlineStr">
        <is>
          <t xml:space="preserve">Agency Reduction Plan:&lt;br&gt;Additional </t>
        </is>
      </c>
      <c r="AR97" s="42" t="inlineStr">
        <is>
          <t>1</t>
        </is>
      </c>
      <c r="AS97" s="4">
        <f>IF(ISBLANK(AR97),""," %")</f>
        <v/>
      </c>
      <c r="AT97" s="4">
        <f t="array" ref="AT97">_xlfn.IFS(NOT(ISBLANK(AU97))," (pgs. ",NOT(ISBLANK(AS97))," (pg. ", ISBLANK(AS97), "")</f>
        <v/>
      </c>
      <c r="AU97" s="52" t="n">
        <v>129</v>
      </c>
      <c r="AV97" s="4">
        <f>IF(ISBLANK(AW97),"",", ")</f>
        <v/>
      </c>
      <c r="AW97" s="53" t="n">
        <v>130</v>
      </c>
      <c r="AX97" s="4">
        <f>IF(ISBLANK(AY97),"",",&lt;br&gt;")</f>
        <v/>
      </c>
      <c r="AY97" s="53" t="n">
        <v>131</v>
      </c>
      <c r="AZ97" s="49">
        <f>IF(ISBLANK(AU97),"",")&lt;/b&gt;")</f>
        <v/>
      </c>
      <c r="BA97" s="4">
        <f>IF(ISBLANK(BC97),"","&lt;br&gt;")</f>
        <v/>
      </c>
      <c r="BB97" s="42">
        <f t="array" ref="BB97">IF(ISBLANK(BC97),"",_xlfn.LET(
_xlpm.words,_xlfn.TEXTSPLIT(TRIM(BC97),"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97" s="50" t="inlineStr">
        <is>
          <t>These reductions would not require reductions in force or furloughs in FY 2026 or FY 2027. However, a 1% reduction would result in the elimination of 1 FTP that is currently vacant... $200,000 reduction in Trustee/Benefit (T/B) expenditures for the Water Quality appropriation unit (DQAD) - The reduction to the Water Quality appropriation unit (DQAD) would reduce statewide water quality monitoring, response capacity, and data collection that support Clean Water Act programs. The agency is legally required to conduct monitoring, assessments, and TMDL development, and reduced monitoring strains the state’s ability to meet these obligations and maintain critical monitoring equipment. For SFY 2026, this represents a $450,300 reduction, or approximately a 32% decrease, in funding for water quality monitoring and related activities. These reductions affect field monitoring, laboratory analysis, equipment maintenance, data management, and interagency response, in a program area where funding needs already exceed available appropriation. The most immediate impact is the elimination of remaining funding for Harmful Algal Bloom (HAB) monitoring and response in SFY 2026, eliminating the agency’s ability to confirm toxicity, assess risk, and support timely public health decisions. Approximately 50% of planned sampling on Lake Coeur d’Alene would also be eliminated, along with reductions to statewide monitoring locations and sampling frequency. Reduced monitoring and assessment slow TMDL development, extend cleanup timelines, and increase compliance risk. These reductions also directly affect the agency’s ability to issue new or renewed discharge permits, as limited data and delayed cleanup plans increase permitting timelines, reliance on conservative assumptions, and regulatory uncertainty for permit holders. $22,700 reduction in operating expenditures for the Administration and Support appropriation unit (DQAB) - The reduction to DQAB would result in less funding to support critical software licenses, computer inventory, vehicle maintenance and repairs, training, and other expenses supporting overall agency operations. It would also impact the ability for leadership located within Boise to travel to regional offices, and to meet with stakeholders. $70,900 elimination of vacant financial technician position - DEQ has been rebuilding its fiscal office for close to a year. Approximately 15 of 20 positions have turned over during that time. DEQ has reorganized its fiscal office and has been very intentional in evaluating and filling each position. Eliminating this position will strain a group that is already struggling to keep up with the thousands of transactions that are processed each year. $59,900 elimination of toxicologist position - DEQ’s toxicologist position is funded with a combination of general funds, federal funds, and cost recovery. Recent federal funding concerns caused DEQ to hold the position vacant. Now that the federal budget has been set, DEQ planned to move forward with filling the vacancy. This position is critical for our ability to defend decisions we make, for example it has been vital in developing our human health criteria for toxics in our water quality program, and in defending the air quality permit that we issued for a large mining project. Not filling this vacancy will significantly compromise our ability to defend decisions DEQ makes that are beneficial to the state of Idaho. Eliminate Funding for the North Idaho “Lakes Commission” - The Lakes Commission is an advisory board to the State of Idaho and per statute we are charged with studying, investigating, and selecting ways and means of controlling the water quality and water quantity as they relate to waters of Lake Pend Oreille, Pend Oreille River, Priest Lake and Priest River for the community’s interests and the interests of the State of Idaho and for the survival of the native species fish contiguous to the Pend Oreille/Priest River. The Lakes Commission is not a water resource management or regulatory agency. However, eliminating DEQ’s funding would eliminate the executive director’s position, and the commission would no longer have any staff to support it in carrying out the purposes it was created for. Eliminate Funding for the Bear Lake Regional Commission - The Bear Lake Regional Commission deals with managing growth on the unique regional resource of Bear Lake. The Commission has five major goals: To acknowledge the Bear Lake Valley as a resource of regional significance and provide for its continued utilization and preservation; To provide for the maximum public benefit of valley resources at a minimum public cost along with preservation of natural resources; To coordinate public and private interests, including the local, regional, state and federal governments in the long-term management of the Bear Lake Valley environment; To maintain technical staff competent to advise or assist local government; To develop and assist in the implementation of a total planning program based on the natural environmental constraints of the air, land, and water. The Regional Commission is not a water resource management or regulatory agency. However, eliminating DEQ’s funding would impact the Commission’s budget and make it more difficult to carry out the purposes it was created for. Two-year Reduced “BURP” Water Quality Monitoring and Assessment - DEQ’s program, circa 1994, utilizes seasonal staff to collect statewide data on the health of Idaho’s waterways. This data is foundational to state Clean Water Act primacy. For FY27 and FY28, DEQ could reduce the number of crews by half. This would result in a one-year gap in data in each of our regional offices over that 2-year period, but it could be managed. DEQ would need to request additional general funds in FY29 to return to 6 crews. Longer-term data gaps significantly undermine DEQ’s ability to carry out responsibilities required by state law and the Clean Water Act.</t>
        </is>
      </c>
    </row>
    <row r="98">
      <c r="A98" s="20">
        <f>_xlfn.TEXTJOIN("", TRUE, F98:H98)</f>
        <v/>
      </c>
      <c r="B98" s="21">
        <f>_xlfn.TEXTJOIN("", TRUE, I98:S98)</f>
        <v/>
      </c>
      <c r="C98" s="21">
        <f>IF(ISBLANK(X98),"", _xlfn.TEXTJOIN("",TRUE,T98:Z98))</f>
        <v/>
      </c>
      <c r="D98" s="21">
        <f>IF(ISBLANK(AB98), "", _xlfn.TEXTJOIN("", TRUE, AA98:AC98))</f>
        <v/>
      </c>
      <c r="E98" s="22">
        <f>IF(AU98="NA", _xlfn.TEXTJOIN("", TRUE, AD98:AH98), _xlfn.TEXTJOIN("", TRUE, AD98:AJ98))</f>
        <v/>
      </c>
      <c r="F98" s="42">
        <f>IF(LEFT(G98,4)="FY26","&lt;b&gt;","&lt;i&gt;")</f>
        <v/>
      </c>
      <c r="G98" s="42" t="inlineStr">
        <is>
          <t>FY26 Reduction</t>
        </is>
      </c>
      <c r="H98" s="42">
        <f>IF(LEFT(G98,4)="FY26","&lt;/b&gt;","&lt;/i&gt;")</f>
        <v/>
      </c>
      <c r="I98" s="43" t="inlineStr">
        <is>
          <t>&lt;i&gt;</t>
        </is>
      </c>
      <c r="J98" s="44" t="inlineStr">
        <is>
          <t>Natural Resources</t>
        </is>
      </c>
      <c r="K98" s="44" t="inlineStr">
        <is>
          <t>&lt;/i&gt;</t>
        </is>
      </c>
      <c r="L98" s="4">
        <f>IF(ISBLANK(N98),"","&lt;br&gt;")</f>
        <v/>
      </c>
      <c r="M98" s="42">
        <f>IF(ISBLANK(R98),"&lt;b&gt;","&lt;i&gt;")</f>
        <v/>
      </c>
      <c r="N98" s="42" t="inlineStr">
        <is>
          <t>Dept. of Fish &amp; Game</t>
        </is>
      </c>
      <c r="O98" s="42">
        <f>IF(ISBLANK(R98),"&lt;/b&gt;","&lt;/i&gt;")</f>
        <v/>
      </c>
      <c r="P98" s="4">
        <f>IF(ISBLANK(R98),"","&lt;br&gt;")</f>
        <v/>
      </c>
      <c r="Q98" s="42">
        <f>IF(ISBLANK(R98),"","&lt;b&gt;")</f>
        <v/>
      </c>
      <c r="R98" s="42" t="n"/>
      <c r="S98" s="42">
        <f>IF(ISBLANK(R98),"","&lt;/i&gt;")</f>
        <v/>
      </c>
      <c r="T98" s="43">
        <f>IF(ISBLANK(X98),"",IF(OR(AB98="PASSED",ISBLANK(N98)),"&lt;b&gt;","&lt;i&gt;"))</f>
        <v/>
      </c>
      <c r="U98" s="3">
        <f>IF(ISBLANK(V98),"","&lt;a href='")</f>
        <v/>
      </c>
      <c r="V98" s="39" t="inlineStr">
        <is>
          <t>https://legislature.idaho.gov/sessioninfo/2026/legislation/S1331/</t>
        </is>
      </c>
      <c r="W98" s="17">
        <f>IF(ISBLANK(V98),"","'&gt;")</f>
        <v/>
      </c>
      <c r="X98" s="12" t="inlineStr">
        <is>
          <t>Senate Bill 1331</t>
        </is>
      </c>
      <c r="Y98" s="17">
        <f>IF(ISBLANK(X98),"","&lt;/a&gt;")</f>
        <v/>
      </c>
      <c r="Z98" s="42">
        <f>IF(ISBLANK(X98),"",IF(OR(AB98="PASSED",ISBLANK(N98)),"&lt;/b&gt;","&lt;/i&gt;"))</f>
        <v/>
      </c>
      <c r="AA98" s="43">
        <f>IF(AB98="PASSED","&lt;b&gt;","")</f>
        <v/>
      </c>
      <c r="AB98" s="45" t="inlineStr">
        <is>
          <t>PASSED</t>
        </is>
      </c>
      <c r="AC98" s="43">
        <f>IF(AB98="PASSED","&lt;/b&gt;","")</f>
        <v/>
      </c>
      <c r="AD98" s="43">
        <f>IF(ISBLANK(AE98),"","&lt;b&gt;")</f>
        <v/>
      </c>
      <c r="AE98" s="51" t="inlineStr">
        <is>
          <t>03/06</t>
        </is>
      </c>
      <c r="AF98" s="42">
        <f>IF(ISBLANK(AE98),"",": ")</f>
        <v/>
      </c>
      <c r="AG98" s="42" t="inlineStr">
        <is>
          <t>House Vote 48-22</t>
        </is>
      </c>
      <c r="AH98" s="42">
        <f>IF(ISBLANK(AE98),"","&lt;/b&gt;")</f>
        <v/>
      </c>
      <c r="AI98" s="42" t="inlineStr">
        <is>
          <t>03/02: Senate Vote 18-17&lt;br&gt;02/06: FY26 holdback (-4%)</t>
        </is>
      </c>
      <c r="AJ98" s="42">
        <f>IF(ISBLANK(AI98),"","&lt;br&gt;"&amp;AI98)</f>
        <v/>
      </c>
      <c r="AK98" s="4" t="inlineStr">
        <is>
          <t>&lt;br&gt;</t>
        </is>
      </c>
      <c r="AL98" s="42" t="inlineStr">
        <is>
          <t>&lt;b&gt;&lt;i&gt;</t>
        </is>
      </c>
      <c r="AM98" s="42" t="inlineStr">
        <is>
          <t>Governor's 3% + JFAC's 1%</t>
        </is>
      </c>
      <c r="AN98" s="42">
        <f>IF(ISBLANK(AM98),"","&lt;/i&gt;")</f>
        <v/>
      </c>
      <c r="AO98" s="35">
        <f>IF(ISBLANK(AQ98),"","&lt;/b&gt;&lt;br&gt;&lt;br&gt;")</f>
        <v/>
      </c>
      <c r="AP98" s="42">
        <f>IF(ISBLANK(AQ98),"","&lt;b&gt;")</f>
        <v/>
      </c>
      <c r="AQ98" s="47" t="inlineStr">
        <is>
          <t xml:space="preserve">Agency Reduction Plan:&lt;br&gt;Additional </t>
        </is>
      </c>
      <c r="AR98" s="42" t="inlineStr">
        <is>
          <t>1</t>
        </is>
      </c>
      <c r="AS98" s="4">
        <f>IF(ISBLANK(AR98),""," %")</f>
        <v/>
      </c>
      <c r="AT98" s="4">
        <f t="array" ref="AT98">_xlfn.IFS(NOT(ISBLANK(AU98))," (pgs. ",NOT(ISBLANK(AS98))," (pg. ", ISBLANK(AS98), "")</f>
        <v/>
      </c>
      <c r="AU98" s="52" t="inlineStr">
        <is>
          <t>NA</t>
        </is>
      </c>
      <c r="AV98" s="4">
        <f>IF(ISBLANK(AW98),"",", ")</f>
        <v/>
      </c>
      <c r="AW98" s="42" t="n"/>
      <c r="AX98" s="4">
        <f>IF(ISBLANK(AY98),"",",&lt;br&gt;")</f>
        <v/>
      </c>
      <c r="AY98" s="42" t="n"/>
      <c r="AZ98" s="49">
        <f>IF(ISBLANK(AU98),"",")&lt;/b&gt;")</f>
        <v/>
      </c>
      <c r="BA98" s="4">
        <f>IF(ISBLANK(BC98),"","&lt;br&gt;")</f>
        <v/>
      </c>
      <c r="BB98" s="42">
        <f t="array" ref="BB98">IF(ISBLANK(BC98),"",_xlfn.LET(
_xlpm.words,_xlfn.TEXTSPLIT(TRIM(BC98),"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98" s="50" t="n"/>
    </row>
    <row r="99">
      <c r="A99" s="20">
        <f>_xlfn.TEXTJOIN("", TRUE, F99:H99)</f>
        <v/>
      </c>
      <c r="B99" s="21">
        <f>_xlfn.TEXTJOIN("", TRUE, I99:S99)</f>
        <v/>
      </c>
      <c r="C99" s="21">
        <f>IF(ISBLANK(X99),"", _xlfn.TEXTJOIN("",TRUE,T99:Z99))</f>
        <v/>
      </c>
      <c r="D99" s="21">
        <f>IF(ISBLANK(AB99), "", _xlfn.TEXTJOIN("", TRUE, AA99:AC99))</f>
        <v/>
      </c>
      <c r="E99" s="22">
        <f>IF(AU99="NA", _xlfn.TEXTJOIN("", TRUE, AD99:AH99), _xlfn.TEXTJOIN("", TRUE, AD99:AJ99))</f>
        <v/>
      </c>
      <c r="F99" s="42">
        <f>IF(LEFT(G99,4)="FY26","&lt;b&gt;","&lt;i&gt;")</f>
        <v/>
      </c>
      <c r="G99" s="42" t="inlineStr">
        <is>
          <t>FY26 Reduction</t>
        </is>
      </c>
      <c r="H99" s="42">
        <f>IF(LEFT(G99,4)="FY26","&lt;/b&gt;","&lt;/i&gt;")</f>
        <v/>
      </c>
      <c r="I99" s="43" t="inlineStr">
        <is>
          <t>&lt;i&gt;</t>
        </is>
      </c>
      <c r="J99" s="44" t="inlineStr">
        <is>
          <t>Natural Resources</t>
        </is>
      </c>
      <c r="K99" s="44" t="inlineStr">
        <is>
          <t>&lt;/i&gt;</t>
        </is>
      </c>
      <c r="L99" s="4">
        <f>IF(ISBLANK(N99),"","&lt;br&gt;")</f>
        <v/>
      </c>
      <c r="M99" s="42">
        <f>IF(ISBLANK(R99),"&lt;b&gt;","&lt;i&gt;")</f>
        <v/>
      </c>
      <c r="N99" s="42" t="inlineStr">
        <is>
          <t>Dept. of Parks &amp; Recreation</t>
        </is>
      </c>
      <c r="O99" s="42">
        <f>IF(ISBLANK(R99),"&lt;/b&gt;","&lt;/i&gt;")</f>
        <v/>
      </c>
      <c r="P99" s="4">
        <f>IF(ISBLANK(R99),"","&lt;br&gt;")</f>
        <v/>
      </c>
      <c r="Q99" s="42">
        <f>IF(ISBLANK(R99),"","&lt;b&gt;")</f>
        <v/>
      </c>
      <c r="R99" s="42" t="n"/>
      <c r="S99" s="42">
        <f>IF(ISBLANK(R99),"","&lt;/i&gt;")</f>
        <v/>
      </c>
      <c r="T99" s="43">
        <f>IF(ISBLANK(X99),"",IF(OR(AB99="PASSED",ISBLANK(N99)),"&lt;b&gt;","&lt;i&gt;"))</f>
        <v/>
      </c>
      <c r="U99" s="3">
        <f>IF(ISBLANK(V99),"","&lt;a href='")</f>
        <v/>
      </c>
      <c r="V99" s="39" t="inlineStr">
        <is>
          <t>https://legislature.idaho.gov/sessioninfo/2026/legislation/S1331/</t>
        </is>
      </c>
      <c r="W99" s="17">
        <f>IF(ISBLANK(V99),"","'&gt;")</f>
        <v/>
      </c>
      <c r="X99" s="12" t="inlineStr">
        <is>
          <t>Senate Bill 1331</t>
        </is>
      </c>
      <c r="Y99" s="17">
        <f>IF(ISBLANK(X99),"","&lt;/a&gt;")</f>
        <v/>
      </c>
      <c r="Z99" s="42">
        <f>IF(ISBLANK(X99),"",IF(OR(AB99="PASSED",ISBLANK(N99)),"&lt;/b&gt;","&lt;/i&gt;"))</f>
        <v/>
      </c>
      <c r="AA99" s="43">
        <f>IF(AB99="PASSED","&lt;b&gt;","")</f>
        <v/>
      </c>
      <c r="AB99" s="45" t="inlineStr">
        <is>
          <t>PASSED</t>
        </is>
      </c>
      <c r="AC99" s="43">
        <f>IF(AB99="PASSED","&lt;/b&gt;","")</f>
        <v/>
      </c>
      <c r="AD99" s="43">
        <f>IF(ISBLANK(AE99),"","&lt;b&gt;")</f>
        <v/>
      </c>
      <c r="AE99" s="51" t="inlineStr">
        <is>
          <t>03/06</t>
        </is>
      </c>
      <c r="AF99" s="42">
        <f>IF(ISBLANK(AE99),"",": ")</f>
        <v/>
      </c>
      <c r="AG99" s="42" t="inlineStr">
        <is>
          <t>House Vote 48-22</t>
        </is>
      </c>
      <c r="AH99" s="42">
        <f>IF(ISBLANK(AE99),"","&lt;/b&gt;")</f>
        <v/>
      </c>
      <c r="AI99" s="42" t="inlineStr">
        <is>
          <t>03/02: Senate Vote 18-17&lt;br&gt;02/06: FY26 holdback (-4%)</t>
        </is>
      </c>
      <c r="AJ99" s="42">
        <f>IF(ISBLANK(AI99),"","&lt;br&gt;"&amp;AI99)</f>
        <v/>
      </c>
      <c r="AK99" s="4" t="inlineStr">
        <is>
          <t>&lt;br&gt;</t>
        </is>
      </c>
      <c r="AL99" s="42" t="inlineStr">
        <is>
          <t>&lt;b&gt;&lt;i&gt;</t>
        </is>
      </c>
      <c r="AM99" s="42" t="inlineStr">
        <is>
          <t>Governor's 3% + JFAC's 1%</t>
        </is>
      </c>
      <c r="AN99" s="42">
        <f>IF(ISBLANK(AM99),"","&lt;/i&gt;")</f>
        <v/>
      </c>
      <c r="AO99" s="35">
        <f>IF(ISBLANK(AQ99),"","&lt;/b&gt;&lt;br&gt;&lt;br&gt;")</f>
        <v/>
      </c>
      <c r="AP99" s="42">
        <f>IF(ISBLANK(AQ99),"","&lt;b&gt;")</f>
        <v/>
      </c>
      <c r="AQ99" s="47" t="inlineStr">
        <is>
          <t xml:space="preserve">Agency Reduction Plan:&lt;br&gt;Additional </t>
        </is>
      </c>
      <c r="AR99" s="42" t="inlineStr">
        <is>
          <t>1</t>
        </is>
      </c>
      <c r="AS99" s="4">
        <f>IF(ISBLANK(AR99),""," %")</f>
        <v/>
      </c>
      <c r="AT99" s="4">
        <f t="array" ref="AT99">_xlfn.IFS(NOT(ISBLANK(AU99))," (pgs. ",NOT(ISBLANK(AS99))," (pg. ", ISBLANK(AS99), "")</f>
        <v/>
      </c>
      <c r="AU99" s="52" t="n">
        <v>136</v>
      </c>
      <c r="AV99" s="4">
        <f>IF(ISBLANK(AW99),"",", ")</f>
        <v/>
      </c>
      <c r="AW99" s="42" t="n"/>
      <c r="AX99" s="4">
        <f>IF(ISBLANK(AY99),"",",&lt;br&gt;")</f>
        <v/>
      </c>
      <c r="AY99" s="42" t="n"/>
      <c r="AZ99" s="49">
        <f>IF(ISBLANK(AU99),"",")&lt;/b&gt;")</f>
        <v/>
      </c>
      <c r="BA99" s="4">
        <f>IF(ISBLANK(BC99),"","&lt;br&gt;")</f>
        <v/>
      </c>
      <c r="BB99" s="42">
        <f t="array" ref="BB99">IF(ISBLANK(BC99),"",_xlfn.LET(
_xlpm.words,_xlfn.TEXTSPLIT(TRIM(BC99),"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99" s="50" t="inlineStr">
        <is>
          <t>Budget reductions will cut allocations to pay for utilities, cleaning, stocking, maintenance of facilities like comfort stations, visitor centers, dump stations, road maintenance, and waste removal... IDPR is continuing to recover from the 80% reduction in General Fund from FY 2011 all while addressing the sustained increase in visitation due to COVID. The goal is not to close any park facilities indefinitely or reduce hours of operations, unfortunately further cuts could result in that becoming a reality. Affected programs and services from these suggested reductions were not added to the budget, rather they are essential existing functions of the IDPR operating costs. Fixed costs for facility maintenance, employee health benefits, statewide Risk Management, and ITS costs have risen without an increase in revenue to pay for these changes. Further budget reductions for FY 2026 for the Idaho Department of Parks and Recreation would be disruptive to department operations. If this legislation was passed there would be only a few months to implement a plan.</t>
        </is>
      </c>
    </row>
    <row r="100">
      <c r="A100" s="20">
        <f>_xlfn.TEXTJOIN("", TRUE, F100:H100)</f>
        <v/>
      </c>
      <c r="B100" s="21">
        <f>_xlfn.TEXTJOIN("", TRUE, I100:S100)</f>
        <v/>
      </c>
      <c r="C100" s="21">
        <f>IF(ISBLANK(X100),"", _xlfn.TEXTJOIN("",TRUE,T100:Z100))</f>
        <v/>
      </c>
      <c r="D100" s="21">
        <f>IF(ISBLANK(AB100), "", _xlfn.TEXTJOIN("", TRUE, AA100:AC100))</f>
        <v/>
      </c>
      <c r="E100" s="22">
        <f>IF(AU100="NA", _xlfn.TEXTJOIN("", TRUE, AD100:AH100), _xlfn.TEXTJOIN("", TRUE, AD100:AJ100))</f>
        <v/>
      </c>
      <c r="F100" s="42">
        <f>IF(LEFT(G100,4)="FY26","&lt;b&gt;","&lt;i&gt;")</f>
        <v/>
      </c>
      <c r="G100" s="42" t="inlineStr">
        <is>
          <t>FY26 Reduction</t>
        </is>
      </c>
      <c r="H100" s="42">
        <f>IF(LEFT(G100,4)="FY26","&lt;/b&gt;","&lt;/i&gt;")</f>
        <v/>
      </c>
      <c r="I100" s="43" t="inlineStr">
        <is>
          <t>&lt;i&gt;</t>
        </is>
      </c>
      <c r="J100" s="44" t="inlineStr">
        <is>
          <t>Natural Resources</t>
        </is>
      </c>
      <c r="K100" s="44" t="inlineStr">
        <is>
          <t>&lt;/i&gt;</t>
        </is>
      </c>
      <c r="L100" s="4">
        <f>IF(ISBLANK(N100),"","&lt;br&gt;")</f>
        <v/>
      </c>
      <c r="M100" s="42">
        <f>IF(ISBLANK(R100),"&lt;b&gt;","&lt;i&gt;")</f>
        <v/>
      </c>
      <c r="N100" s="42" t="inlineStr">
        <is>
          <t>Dept. of Water Resources</t>
        </is>
      </c>
      <c r="O100" s="42">
        <f>IF(ISBLANK(R100),"&lt;/b&gt;","&lt;/i&gt;")</f>
        <v/>
      </c>
      <c r="P100" s="4">
        <f>IF(ISBLANK(R100),"","&lt;br&gt;")</f>
        <v/>
      </c>
      <c r="Q100" s="42">
        <f>IF(ISBLANK(R100),"","&lt;b&gt;")</f>
        <v/>
      </c>
      <c r="R100" s="42" t="n"/>
      <c r="S100" s="42">
        <f>IF(ISBLANK(R100),"","&lt;/i&gt;")</f>
        <v/>
      </c>
      <c r="T100" s="43">
        <f>IF(ISBLANK(X100),"",IF(OR(AB100="PASSED",ISBLANK(N100)),"&lt;b&gt;","&lt;i&gt;"))</f>
        <v/>
      </c>
      <c r="U100" s="3">
        <f>IF(ISBLANK(V100),"","&lt;a href='")</f>
        <v/>
      </c>
      <c r="V100" s="39" t="inlineStr">
        <is>
          <t>https://legislature.idaho.gov/sessioninfo/2026/legislation/S1331/</t>
        </is>
      </c>
      <c r="W100" s="17">
        <f>IF(ISBLANK(V100),"","'&gt;")</f>
        <v/>
      </c>
      <c r="X100" s="12" t="inlineStr">
        <is>
          <t>Senate Bill 1331</t>
        </is>
      </c>
      <c r="Y100" s="17">
        <f>IF(ISBLANK(X100),"","&lt;/a&gt;")</f>
        <v/>
      </c>
      <c r="Z100" s="42">
        <f>IF(ISBLANK(X100),"",IF(OR(AB100="PASSED",ISBLANK(N100)),"&lt;/b&gt;","&lt;/i&gt;"))</f>
        <v/>
      </c>
      <c r="AA100" s="43">
        <f>IF(AB100="PASSED","&lt;b&gt;","")</f>
        <v/>
      </c>
      <c r="AB100" s="45" t="inlineStr">
        <is>
          <t>PASSED</t>
        </is>
      </c>
      <c r="AC100" s="43">
        <f>IF(AB100="PASSED","&lt;/b&gt;","")</f>
        <v/>
      </c>
      <c r="AD100" s="43">
        <f>IF(ISBLANK(AE100),"","&lt;b&gt;")</f>
        <v/>
      </c>
      <c r="AE100" s="51" t="inlineStr">
        <is>
          <t>03/06</t>
        </is>
      </c>
      <c r="AF100" s="42">
        <f>IF(ISBLANK(AE100),"",": ")</f>
        <v/>
      </c>
      <c r="AG100" s="42" t="inlineStr">
        <is>
          <t>House Vote 48-22</t>
        </is>
      </c>
      <c r="AH100" s="42">
        <f>IF(ISBLANK(AE100),"","&lt;/b&gt;")</f>
        <v/>
      </c>
      <c r="AI100" s="42" t="inlineStr">
        <is>
          <t>03/02: Senate Vote 18-17&lt;br&gt;02/06: FY26 holdback (-4%)</t>
        </is>
      </c>
      <c r="AJ100" s="42">
        <f>IF(ISBLANK(AI100),"","&lt;br&gt;"&amp;AI100)</f>
        <v/>
      </c>
      <c r="AK100" s="4" t="inlineStr">
        <is>
          <t>&lt;br&gt;</t>
        </is>
      </c>
      <c r="AL100" s="42" t="inlineStr">
        <is>
          <t>&lt;b&gt;&lt;i&gt;</t>
        </is>
      </c>
      <c r="AM100" s="42" t="inlineStr">
        <is>
          <t>Governor's 3% + JFAC's 1%</t>
        </is>
      </c>
      <c r="AN100" s="42">
        <f>IF(ISBLANK(AM100),"","&lt;/i&gt;")</f>
        <v/>
      </c>
      <c r="AO100" s="35">
        <f>IF(ISBLANK(AQ100),"","&lt;/b&gt;&lt;br&gt;&lt;br&gt;")</f>
        <v/>
      </c>
      <c r="AP100" s="42">
        <f>IF(ISBLANK(AQ100),"","&lt;b&gt;")</f>
        <v/>
      </c>
      <c r="AQ100" s="47" t="inlineStr">
        <is>
          <t xml:space="preserve">Agency Reduction Plan:&lt;br&gt;Additional </t>
        </is>
      </c>
      <c r="AR100" s="42" t="inlineStr">
        <is>
          <t>1</t>
        </is>
      </c>
      <c r="AS100" s="4">
        <f>IF(ISBLANK(AR100),""," %")</f>
        <v/>
      </c>
      <c r="AT100" s="4">
        <f t="array" ref="AT100">_xlfn.IFS(NOT(ISBLANK(AU100))," (pgs. ",NOT(ISBLANK(AS100))," (pg. ", ISBLANK(AS100), "")</f>
        <v/>
      </c>
      <c r="AU100" s="52" t="n">
        <v>139</v>
      </c>
      <c r="AV100" s="4">
        <f>IF(ISBLANK(AW100),"",", ")</f>
        <v/>
      </c>
      <c r="AW100" s="53" t="n">
        <v>140</v>
      </c>
      <c r="AX100" s="4">
        <f>IF(ISBLANK(AY100),"",",&lt;br&gt;")</f>
        <v/>
      </c>
      <c r="AY100" s="42" t="n"/>
      <c r="AZ100" s="49">
        <f>IF(ISBLANK(AU100),"",")&lt;/b&gt;")</f>
        <v/>
      </c>
      <c r="BA100" s="4">
        <f>IF(ISBLANK(BC100),"","&lt;br&gt;")</f>
        <v/>
      </c>
      <c r="BB100" s="42">
        <f t="array" ref="BB100">IF(ISBLANK(BC100),"",_xlfn.LET(
_xlpm.words,_xlfn.TEXTSPLIT(TRIM(BC100),"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00" s="50" t="inlineStr">
        <is>
          <t>IDWR will not contract with MCCI to develop an online beneficial use form. By foregoing application development, the agency will continue manually entering data into the workflow process, scanning documents, and storing paper documents. Manual data entry takes time and increases the chance for errors. When staff are spending time entering data, they have less time for application evaluation and other water right permitting and licensing tasks. IDWR will reduce its replacement of portable flowmeters for closed conduits from three to two. Not replacing flowmeters consistent with our six-year rotation decreases their reliability, decreases their accuracy and precision, and may result in not enough usable meters for staff to efficiently use for necessary water allocation, water right adjudication, and water administration field work. IDWR will cancel the order placed with the auto dealer for three replacement field vehicles. Foregoing these replacements increases the risk of employees being stranded in remote areas during field operations and elevates employee safety risks associated with operating older, less reliable vehicles. IDWR does not request vehicle replacement until units have exceeded 100,000 miles or are more than fifteen years old. At that stage, vehicles are significantly more prone to age- and mileage-related mechanical failures. Continued use of vehicles scheduled for replacement increases the likelihood of breakdowns in remote areas with limited emergency response options. Reduced reliability forces staff to rely more heavily on the remaining lower-mileage vehicles, creating availability bottlenecks during peak field seasons, such as periods when curtailment orders are issued, and potentially limiting the Department’s ability to carry out time-sensitive field activities.</t>
        </is>
      </c>
    </row>
    <row r="101">
      <c r="A101" s="20">
        <f>_xlfn.TEXTJOIN("", TRUE, F101:H101)</f>
        <v/>
      </c>
      <c r="B101" s="21">
        <f>_xlfn.TEXTJOIN("", TRUE, I101:S101)</f>
        <v/>
      </c>
      <c r="C101" s="21">
        <f>IF(ISBLANK(X101),"", _xlfn.TEXTJOIN("",TRUE,T101:Z101))</f>
        <v/>
      </c>
      <c r="D101" s="21">
        <f>IF(ISBLANK(AB101), "", _xlfn.TEXTJOIN("", TRUE, AA101:AC101))</f>
        <v/>
      </c>
      <c r="E101" s="22">
        <f>IF(AU101="NA", _xlfn.TEXTJOIN("", TRUE, AD101:AH101), _xlfn.TEXTJOIN("", TRUE, AD101:AJ101))</f>
        <v/>
      </c>
      <c r="F101" s="42">
        <f>IF(LEFT(G101,4)="FY26","&lt;b&gt;","&lt;i&gt;")</f>
        <v/>
      </c>
      <c r="G101" s="42" t="inlineStr">
        <is>
          <t>FY26 Reduction</t>
        </is>
      </c>
      <c r="H101" s="42">
        <f>IF(LEFT(G101,4)="FY26","&lt;/b&gt;","&lt;/i&gt;")</f>
        <v/>
      </c>
      <c r="I101" s="43" t="inlineStr">
        <is>
          <t>&lt;i&gt;</t>
        </is>
      </c>
      <c r="J101" s="44" t="inlineStr">
        <is>
          <t>Natural Resources</t>
        </is>
      </c>
      <c r="K101" s="44" t="inlineStr">
        <is>
          <t>&lt;/i&gt;</t>
        </is>
      </c>
      <c r="L101" s="4">
        <f>IF(ISBLANK(N101),"","&lt;br&gt;")</f>
        <v/>
      </c>
      <c r="M101" s="42">
        <f>IF(ISBLANK(R101),"&lt;b&gt;","&lt;i&gt;")</f>
        <v/>
      </c>
      <c r="N101" s="42" t="inlineStr">
        <is>
          <t>Land Board</t>
        </is>
      </c>
      <c r="O101" s="42">
        <f>IF(ISBLANK(R101),"&lt;/b&gt;","&lt;/i&gt;")</f>
        <v/>
      </c>
      <c r="P101" s="4">
        <f>IF(ISBLANK(R101),"","&lt;br&gt;")</f>
        <v/>
      </c>
      <c r="Q101" s="42">
        <f>IF(ISBLANK(R101),"","&lt;b&gt;")</f>
        <v/>
      </c>
      <c r="R101" s="42" t="inlineStr">
        <is>
          <t>Dept. of Lands</t>
        </is>
      </c>
      <c r="S101" s="42">
        <f>IF(ISBLANK(R101),"","&lt;/i&gt;")</f>
        <v/>
      </c>
      <c r="T101" s="43">
        <f>IF(ISBLANK(X101),"",IF(OR(AB101="PASSED",ISBLANK(N101)),"&lt;b&gt;","&lt;i&gt;"))</f>
        <v/>
      </c>
      <c r="U101" s="3">
        <f>IF(ISBLANK(V101),"","&lt;a href='")</f>
        <v/>
      </c>
      <c r="V101" s="39" t="inlineStr">
        <is>
          <t>https://legislature.idaho.gov/sessioninfo/2026/legislation/S1331/</t>
        </is>
      </c>
      <c r="W101" s="17">
        <f>IF(ISBLANK(V101),"","'&gt;")</f>
        <v/>
      </c>
      <c r="X101" s="12" t="inlineStr">
        <is>
          <t>Senate Bill 1331</t>
        </is>
      </c>
      <c r="Y101" s="17">
        <f>IF(ISBLANK(X101),"","&lt;/a&gt;")</f>
        <v/>
      </c>
      <c r="Z101" s="42">
        <f>IF(ISBLANK(X101),"",IF(OR(AB101="PASSED",ISBLANK(N101)),"&lt;/b&gt;","&lt;/i&gt;"))</f>
        <v/>
      </c>
      <c r="AA101" s="43">
        <f>IF(AB101="PASSED","&lt;b&gt;","")</f>
        <v/>
      </c>
      <c r="AB101" s="45" t="inlineStr">
        <is>
          <t>PASSED</t>
        </is>
      </c>
      <c r="AC101" s="43">
        <f>IF(AB101="PASSED","&lt;/b&gt;","")</f>
        <v/>
      </c>
      <c r="AD101" s="43">
        <f>IF(ISBLANK(AE101),"","&lt;b&gt;")</f>
        <v/>
      </c>
      <c r="AE101" s="51" t="inlineStr">
        <is>
          <t>03/06</t>
        </is>
      </c>
      <c r="AF101" s="42">
        <f>IF(ISBLANK(AE101),"",": ")</f>
        <v/>
      </c>
      <c r="AG101" s="42" t="inlineStr">
        <is>
          <t>House Vote 48-22</t>
        </is>
      </c>
      <c r="AH101" s="42">
        <f>IF(ISBLANK(AE101),"","&lt;/b&gt;")</f>
        <v/>
      </c>
      <c r="AI101" s="42" t="inlineStr">
        <is>
          <t>03/02: Senate Vote 18-17&lt;br&gt;02/06: FY26 holdback (-4%)</t>
        </is>
      </c>
      <c r="AJ101" s="42">
        <f>IF(ISBLANK(AI101),"","&lt;br&gt;"&amp;AI101)</f>
        <v/>
      </c>
      <c r="AK101" s="4" t="inlineStr">
        <is>
          <t>&lt;br&gt;</t>
        </is>
      </c>
      <c r="AL101" s="42" t="inlineStr">
        <is>
          <t>&lt;b&gt;&lt;i&gt;</t>
        </is>
      </c>
      <c r="AM101" s="42" t="inlineStr">
        <is>
          <t>Governor's 3% + JFAC's 1%</t>
        </is>
      </c>
      <c r="AN101" s="42">
        <f>IF(ISBLANK(AM101),"","&lt;/i&gt;")</f>
        <v/>
      </c>
      <c r="AO101" s="35">
        <f>IF(ISBLANK(AQ101),"","&lt;/b&gt;&lt;br&gt;&lt;br&gt;")</f>
        <v/>
      </c>
      <c r="AP101" s="42">
        <f>IF(ISBLANK(AQ101),"","&lt;b&gt;")</f>
        <v/>
      </c>
      <c r="AQ101" s="47" t="inlineStr">
        <is>
          <t xml:space="preserve">Agency Reduction Plan:&lt;br&gt;Additional </t>
        </is>
      </c>
      <c r="AR101" s="42" t="inlineStr">
        <is>
          <t>1</t>
        </is>
      </c>
      <c r="AS101" s="4">
        <f>IF(ISBLANK(AR101),""," %")</f>
        <v/>
      </c>
      <c r="AT101" s="4">
        <f t="array" ref="AT101">_xlfn.IFS(NOT(ISBLANK(AU101))," (pgs. ",NOT(ISBLANK(AS101))," (pg. ", ISBLANK(AS101), "")</f>
        <v/>
      </c>
      <c r="AU101" s="52" t="n">
        <v>133</v>
      </c>
      <c r="AV101" s="4">
        <f>IF(ISBLANK(AW101),"",", ")</f>
        <v/>
      </c>
      <c r="AW101" s="42" t="n"/>
      <c r="AX101" s="4">
        <f>IF(ISBLANK(AY101),"",",&lt;br&gt;")</f>
        <v/>
      </c>
      <c r="AY101" s="42" t="n"/>
      <c r="AZ101" s="49">
        <f>IF(ISBLANK(AU101),"",")&lt;/b&gt;")</f>
        <v/>
      </c>
      <c r="BA101" s="4">
        <f>IF(ISBLANK(BC101),"","&lt;br&gt;")</f>
        <v/>
      </c>
      <c r="BB101" s="42">
        <f t="array" ref="BB101">IF(ISBLANK(BC101),"",_xlfn.LET(
_xlpm.words,_xlfn.TEXTSPLIT(TRIM(BC101),"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01" s="50" t="inlineStr">
        <is>
          <t>In the event of further reductions to our general fund appropriation, our wildfire suppression readiness could be significantly strained, particularly during a widespread, intense fire season across the West. While in light fire seasons, these impacts may be less visible, the risk to readiness and the potential need for greater future expenditures remain. Shifting Fire GF personnel to Fire Dedicated would, without an assessment increase via HB511, place additional impact on an already stressed fire dedicated fund. Seasonal firefighters are an essential part of the fire suppression effort as staff on fire engines and on fire crews. Those engines and crews are essential to providing effective initial attack on about 6.9 million acres of IDL protection and to meeting the Department's goal of suppressing 95% of fires at 10 acres or less. In the absence of an as-yet unidentified solution, fewer seasonal firefighters would be available to the IDL fire protective districts during the 2026 fire season and/or the duration of their seasonal employment would be reduced. To maintain the numbers of seasonal hires, the Department would have to utilize fire dedicated funds, potentially accelerating the decline of the fund balance in that account. Alternatively, the Department would look for opportunities to use federal funds, though that specific solution has not yet been identified and may not exist. Any alternative solution simply takes from one need to address another. Should fire initial attack effectiveness decrease due to reduced resource availability, the potential exists for larger and more expensive fires, which can quickly expend more from the general fund than the cost of appropriate staffing for effective initial attack.</t>
        </is>
      </c>
    </row>
    <row r="102">
      <c r="A102" s="20">
        <f>_xlfn.TEXTJOIN("", TRUE, F102:H102)</f>
        <v/>
      </c>
      <c r="B102" s="21">
        <f>_xlfn.TEXTJOIN("", TRUE, I102:S102)</f>
        <v/>
      </c>
      <c r="C102" s="21">
        <f>IF(ISBLANK(X102),"", _xlfn.TEXTJOIN("",TRUE,T102:Z102))</f>
        <v/>
      </c>
      <c r="D102" s="21">
        <f>IF(ISBLANK(AB102), "", _xlfn.TEXTJOIN("", TRUE, AA102:AC102))</f>
        <v/>
      </c>
      <c r="E102" s="22">
        <f>IF(AU102="NA", _xlfn.TEXTJOIN("", TRUE, AD102:AH102), _xlfn.TEXTJOIN("", TRUE, AD102:AJ102))</f>
        <v/>
      </c>
      <c r="F102" s="42">
        <f>IF(LEFT(G102,4)="FY26","&lt;b&gt;","&lt;i&gt;")</f>
        <v/>
      </c>
      <c r="G102" s="42" t="inlineStr">
        <is>
          <t>FY26 Reduction</t>
        </is>
      </c>
      <c r="H102" s="42">
        <f>IF(LEFT(G102,4)="FY26","&lt;/b&gt;","&lt;/i&gt;")</f>
        <v/>
      </c>
      <c r="I102" s="43" t="inlineStr">
        <is>
          <t>&lt;i&gt;</t>
        </is>
      </c>
      <c r="J102" s="44" t="inlineStr">
        <is>
          <t>Natural Resources</t>
        </is>
      </c>
      <c r="K102" s="44" t="inlineStr">
        <is>
          <t>&lt;/i&gt;</t>
        </is>
      </c>
      <c r="L102" s="4">
        <f>IF(ISBLANK(N102),"","&lt;br&gt;")</f>
        <v/>
      </c>
      <c r="M102" s="42">
        <f>IF(ISBLANK(R102),"&lt;b&gt;","&lt;i&gt;")</f>
        <v/>
      </c>
      <c r="N102" s="42" t="inlineStr">
        <is>
          <t>Land Board</t>
        </is>
      </c>
      <c r="O102" s="42">
        <f>IF(ISBLANK(R102),"&lt;/b&gt;","&lt;/i&gt;")</f>
        <v/>
      </c>
      <c r="P102" s="4">
        <f>IF(ISBLANK(R102),"","&lt;br&gt;")</f>
        <v/>
      </c>
      <c r="Q102" s="42">
        <f>IF(ISBLANK(R102),"","&lt;b&gt;")</f>
        <v/>
      </c>
      <c r="R102" s="42" t="inlineStr">
        <is>
          <t>Endowment Fund Investment Board</t>
        </is>
      </c>
      <c r="S102" s="42">
        <f>IF(ISBLANK(R102),"","&lt;/i&gt;")</f>
        <v/>
      </c>
      <c r="T102" s="43">
        <f>IF(ISBLANK(X102),"",IF(OR(AB102="PASSED",ISBLANK(N102)),"&lt;b&gt;","&lt;i&gt;"))</f>
        <v/>
      </c>
      <c r="U102" s="3">
        <f>IF(ISBLANK(V102),"","&lt;a href='")</f>
        <v/>
      </c>
      <c r="V102" s="39" t="inlineStr">
        <is>
          <t>https://legislature.idaho.gov/sessioninfo/2026/legislation/S1331/</t>
        </is>
      </c>
      <c r="W102" s="17">
        <f>IF(ISBLANK(V102),"","'&gt;")</f>
        <v/>
      </c>
      <c r="X102" s="12" t="inlineStr">
        <is>
          <t>Senate Bill 1331</t>
        </is>
      </c>
      <c r="Y102" s="17">
        <f>IF(ISBLANK(X102),"","&lt;/a&gt;")</f>
        <v/>
      </c>
      <c r="Z102" s="42">
        <f>IF(ISBLANK(X102),"",IF(OR(AB102="PASSED",ISBLANK(N102)),"&lt;/b&gt;","&lt;/i&gt;"))</f>
        <v/>
      </c>
      <c r="AA102" s="43">
        <f>IF(AB102="PASSED","&lt;b&gt;","")</f>
        <v/>
      </c>
      <c r="AB102" s="45" t="inlineStr">
        <is>
          <t>PASSED</t>
        </is>
      </c>
      <c r="AC102" s="43">
        <f>IF(AB102="PASSED","&lt;/b&gt;","")</f>
        <v/>
      </c>
      <c r="AD102" s="43">
        <f>IF(ISBLANK(AE102),"","&lt;b&gt;")</f>
        <v/>
      </c>
      <c r="AE102" s="51" t="inlineStr">
        <is>
          <t>03/06</t>
        </is>
      </c>
      <c r="AF102" s="42">
        <f>IF(ISBLANK(AE102),"",": ")</f>
        <v/>
      </c>
      <c r="AG102" s="42" t="inlineStr">
        <is>
          <t>House Vote 48-22</t>
        </is>
      </c>
      <c r="AH102" s="42">
        <f>IF(ISBLANK(AE102),"","&lt;/b&gt;")</f>
        <v/>
      </c>
      <c r="AI102" s="42" t="inlineStr">
        <is>
          <t>03/02: Senate Vote 18-17&lt;br&gt;02/06: FY26 holdback (-4%)</t>
        </is>
      </c>
      <c r="AJ102" s="42">
        <f>IF(ISBLANK(AI102),"","&lt;br&gt;"&amp;AI102)</f>
        <v/>
      </c>
      <c r="AK102" s="4" t="inlineStr">
        <is>
          <t>&lt;br&gt;</t>
        </is>
      </c>
      <c r="AL102" s="42" t="inlineStr">
        <is>
          <t>&lt;b&gt;&lt;i&gt;</t>
        </is>
      </c>
      <c r="AM102" s="42" t="inlineStr">
        <is>
          <t>Governor's 3% + JFAC's 1%</t>
        </is>
      </c>
      <c r="AN102" s="42">
        <f>IF(ISBLANK(AM102),"","&lt;/i&gt;")</f>
        <v/>
      </c>
      <c r="AO102" s="35">
        <f>IF(ISBLANK(AQ102),"","&lt;/b&gt;&lt;br&gt;&lt;br&gt;")</f>
        <v/>
      </c>
      <c r="AP102" s="42">
        <f>IF(ISBLANK(AQ102),"","&lt;b&gt;")</f>
        <v/>
      </c>
      <c r="AQ102" s="47" t="inlineStr">
        <is>
          <t xml:space="preserve">Agency Reduction Plan:&lt;br&gt;Additional </t>
        </is>
      </c>
      <c r="AR102" s="42" t="inlineStr">
        <is>
          <t>1</t>
        </is>
      </c>
      <c r="AS102" s="4">
        <f>IF(ISBLANK(AR102),""," %")</f>
        <v/>
      </c>
      <c r="AT102" s="4">
        <f t="array" ref="AT102">_xlfn.IFS(NOT(ISBLANK(AU102))," (pgs. ",NOT(ISBLANK(AS102))," (pg. ", ISBLANK(AS102), "")</f>
        <v/>
      </c>
      <c r="AU102" s="52" t="inlineStr">
        <is>
          <t>NA</t>
        </is>
      </c>
      <c r="AV102" s="4">
        <f>IF(ISBLANK(AW102),"",", ")</f>
        <v/>
      </c>
      <c r="AW102" s="42" t="n"/>
      <c r="AX102" s="4">
        <f>IF(ISBLANK(AY102),"",",&lt;br&gt;")</f>
        <v/>
      </c>
      <c r="AY102" s="42" t="n"/>
      <c r="AZ102" s="49">
        <f>IF(ISBLANK(AU102),"",")&lt;/b&gt;")</f>
        <v/>
      </c>
      <c r="BA102" s="4">
        <f>IF(ISBLANK(BC102),"","&lt;br&gt;")</f>
        <v/>
      </c>
      <c r="BB102" s="42">
        <f t="array" ref="BB102">IF(ISBLANK(BC102),"",_xlfn.LET(
_xlpm.words,_xlfn.TEXTSPLIT(TRIM(BC102),"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02" s="50" t="n"/>
    </row>
    <row r="103">
      <c r="A103" s="20">
        <f>_xlfn.TEXTJOIN("", TRUE, F103:H103)</f>
        <v/>
      </c>
      <c r="B103" s="21">
        <f>_xlfn.TEXTJOIN("", TRUE, I103:S103)</f>
        <v/>
      </c>
      <c r="C103" s="21">
        <f>IF(ISBLANK(X103),"", _xlfn.TEXTJOIN("",TRUE,T103:Z103))</f>
        <v/>
      </c>
      <c r="D103" s="21">
        <f>IF(ISBLANK(AB103), "", _xlfn.TEXTJOIN("", TRUE, AA103:AC103))</f>
        <v/>
      </c>
      <c r="E103" s="22">
        <f>IF(AU103="NA", _xlfn.TEXTJOIN("", TRUE, AD103:AH103), _xlfn.TEXTJOIN("", TRUE, AD103:AJ103))</f>
        <v/>
      </c>
      <c r="F103" s="42">
        <f>IF(LEFT(G103,4)="FY26","&lt;b&gt;","&lt;i&gt;")</f>
        <v/>
      </c>
      <c r="G103" s="42" t="inlineStr">
        <is>
          <t>FY26 Reduction</t>
        </is>
      </c>
      <c r="H103" s="42">
        <f>IF(LEFT(G103,4)="FY26","&lt;/b&gt;","&lt;/i&gt;")</f>
        <v/>
      </c>
      <c r="I103" s="43" t="inlineStr">
        <is>
          <t>&lt;i&gt;</t>
        </is>
      </c>
      <c r="J103" s="44" t="inlineStr">
        <is>
          <t>Public Safety</t>
        </is>
      </c>
      <c r="K103" s="44" t="inlineStr">
        <is>
          <t>&lt;/i&gt;</t>
        </is>
      </c>
      <c r="L103" s="4">
        <f>IF(ISBLANK(N103),"","&lt;br&gt;")</f>
        <v/>
      </c>
      <c r="M103" s="42">
        <f>IF(ISBLANK(R103),"&lt;b&gt;","&lt;i&gt;")</f>
        <v/>
      </c>
      <c r="N103" s="42" t="inlineStr">
        <is>
          <t>Dept. of Correction</t>
        </is>
      </c>
      <c r="O103" s="42">
        <f>IF(ISBLANK(R103),"&lt;/b&gt;","&lt;/i&gt;")</f>
        <v/>
      </c>
      <c r="P103" s="4">
        <f>IF(ISBLANK(R103),"","&lt;br&gt;")</f>
        <v/>
      </c>
      <c r="Q103" s="42">
        <f>IF(ISBLANK(R103),"","&lt;b&gt;")</f>
        <v/>
      </c>
      <c r="R103" s="42" t="inlineStr">
        <is>
          <t>Community Corrections</t>
        </is>
      </c>
      <c r="S103" s="42">
        <f>IF(ISBLANK(R103),"","&lt;/i&gt;")</f>
        <v/>
      </c>
      <c r="T103" s="43">
        <f>IF(ISBLANK(X103),"",IF(OR(AB103="PASSED",ISBLANK(N103)),"&lt;b&gt;","&lt;i&gt;"))</f>
        <v/>
      </c>
      <c r="U103" s="3">
        <f>IF(ISBLANK(V103),"","&lt;a href='")</f>
        <v/>
      </c>
      <c r="V103" s="39" t="inlineStr">
        <is>
          <t>https://legislature.idaho.gov/sessioninfo/2026/legislation/S1331/</t>
        </is>
      </c>
      <c r="W103" s="17">
        <f>IF(ISBLANK(V103),"","'&gt;")</f>
        <v/>
      </c>
      <c r="X103" s="12" t="inlineStr">
        <is>
          <t>Senate Bill 1331</t>
        </is>
      </c>
      <c r="Y103" s="17">
        <f>IF(ISBLANK(X103),"","&lt;/a&gt;")</f>
        <v/>
      </c>
      <c r="Z103" s="42">
        <f>IF(ISBLANK(X103),"",IF(OR(AB103="PASSED",ISBLANK(N103)),"&lt;/b&gt;","&lt;/i&gt;"))</f>
        <v/>
      </c>
      <c r="AA103" s="43">
        <f>IF(AB103="PASSED","&lt;b&gt;","")</f>
        <v/>
      </c>
      <c r="AB103" s="45" t="inlineStr">
        <is>
          <t>PASSED</t>
        </is>
      </c>
      <c r="AC103" s="43">
        <f>IF(AB103="PASSED","&lt;/b&gt;","")</f>
        <v/>
      </c>
      <c r="AD103" s="43">
        <f>IF(ISBLANK(AE103),"","&lt;b&gt;")</f>
        <v/>
      </c>
      <c r="AE103" s="51" t="inlineStr">
        <is>
          <t>03/06</t>
        </is>
      </c>
      <c r="AF103" s="42">
        <f>IF(ISBLANK(AE103),"",": ")</f>
        <v/>
      </c>
      <c r="AG103" s="42" t="inlineStr">
        <is>
          <t>House Vote 48-22</t>
        </is>
      </c>
      <c r="AH103" s="42">
        <f>IF(ISBLANK(AE103),"","&lt;/b&gt;")</f>
        <v/>
      </c>
      <c r="AI103" s="42" t="inlineStr">
        <is>
          <t>03/02: Senate Vote 18-17&lt;br&gt;02/06: FY26 holdback (-4%)</t>
        </is>
      </c>
      <c r="AJ103" s="42">
        <f>IF(ISBLANK(AI103),"","&lt;br&gt;"&amp;AI103)</f>
        <v/>
      </c>
      <c r="AK103" s="4" t="inlineStr">
        <is>
          <t>&lt;br&gt;</t>
        </is>
      </c>
      <c r="AL103" s="42" t="inlineStr">
        <is>
          <t>&lt;b&gt;&lt;i&gt;</t>
        </is>
      </c>
      <c r="AM103" s="42" t="inlineStr">
        <is>
          <t>Governor's 3% + JFAC's 1%&lt;br&gt;Dept. of Correction excluded &lt;br&gt;from additional reduction</t>
        </is>
      </c>
      <c r="AN103" s="42">
        <f>IF(ISBLANK(AM103),"","&lt;/i&gt;")</f>
        <v/>
      </c>
      <c r="AO103" s="35">
        <f>IF(ISBLANK(AQ103),"","&lt;/b&gt;&lt;br&gt;&lt;br&gt;")</f>
        <v/>
      </c>
      <c r="AP103" s="42">
        <f>IF(ISBLANK(AQ103),"","&lt;b&gt;")</f>
        <v/>
      </c>
      <c r="AQ103" s="47" t="inlineStr">
        <is>
          <t xml:space="preserve">Agency Reduction Plan:&lt;br&gt;Additional </t>
        </is>
      </c>
      <c r="AR103" s="42" t="inlineStr">
        <is>
          <t>1</t>
        </is>
      </c>
      <c r="AS103" s="4">
        <f>IF(ISBLANK(AR103),""," %")</f>
        <v/>
      </c>
      <c r="AT103" s="4">
        <f t="array" ref="AT103">_xlfn.IFS(NOT(ISBLANK(AU103))," (pgs. ",NOT(ISBLANK(AS103))," (pg. ", ISBLANK(AS103), "")</f>
        <v/>
      </c>
      <c r="AU103" s="52" t="n">
        <v>104</v>
      </c>
      <c r="AV103" s="4">
        <f>IF(ISBLANK(AW103),"",", ")</f>
        <v/>
      </c>
      <c r="AW103" s="42" t="n"/>
      <c r="AX103" s="4">
        <f>IF(ISBLANK(AY103),"",",&lt;br&gt;")</f>
        <v/>
      </c>
      <c r="AY103" s="42" t="n"/>
      <c r="AZ103" s="49">
        <f>IF(ISBLANK(AU103),"",")&lt;/b&gt;")</f>
        <v/>
      </c>
      <c r="BA103" s="4">
        <f>IF(ISBLANK(BC103),"","&lt;br&gt;")</f>
        <v/>
      </c>
      <c r="BB103" s="42">
        <f t="array" ref="BB103">IF(ISBLANK(BC103),"",_xlfn.LET(
_xlpm.words,_xlfn.TEXTSPLIT(TRIM(BC103),"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03" s="50" t="inlineStr">
        <is>
          <t>The implementation of six furlough days within the Idaho Department of Correction (IDOC) administration will have significant ripple effects across multiple operational areas. Reduced staffing time will impact employee wellness by increasing stress and workload during non-furlough periods, while also creating delays in processing critical tasks such as paying invoices, addressing maintenance concerns, ordering and distributing supplies such as cleaning products to prisons, completing inmate meal planning and ordering, and fulfilling public records requests. These disruptions not only hinder efficiency but could put IDOC out of compliance with public records laws and at-risk for 8th Amendment claims.</t>
        </is>
      </c>
    </row>
    <row r="104">
      <c r="A104" s="20">
        <f>_xlfn.TEXTJOIN("", TRUE, F104:H104)</f>
        <v/>
      </c>
      <c r="B104" s="21">
        <f>_xlfn.TEXTJOIN("", TRUE, I104:S104)</f>
        <v/>
      </c>
      <c r="C104" s="21">
        <f>IF(ISBLANK(X104),"", _xlfn.TEXTJOIN("",TRUE,T104:Z104))</f>
        <v/>
      </c>
      <c r="D104" s="21">
        <f>IF(ISBLANK(AB104), "", _xlfn.TEXTJOIN("", TRUE, AA104:AC104))</f>
        <v/>
      </c>
      <c r="E104" s="22">
        <f>IF(AU104="NA", _xlfn.TEXTJOIN("", TRUE, AD104:AH104), _xlfn.TEXTJOIN("", TRUE, AD104:AJ104))</f>
        <v/>
      </c>
      <c r="F104" s="42">
        <f>IF(LEFT(G104,4)="FY26","&lt;b&gt;","&lt;i&gt;")</f>
        <v/>
      </c>
      <c r="G104" s="42" t="inlineStr">
        <is>
          <t>FY26 Reduction</t>
        </is>
      </c>
      <c r="H104" s="42">
        <f>IF(LEFT(G104,4)="FY26","&lt;/b&gt;","&lt;/i&gt;")</f>
        <v/>
      </c>
      <c r="I104" s="43" t="inlineStr">
        <is>
          <t>&lt;i&gt;</t>
        </is>
      </c>
      <c r="J104" s="44" t="inlineStr">
        <is>
          <t>Public Safety</t>
        </is>
      </c>
      <c r="K104" s="44" t="inlineStr">
        <is>
          <t>&lt;/i&gt;</t>
        </is>
      </c>
      <c r="L104" s="4">
        <f>IF(ISBLANK(N104),"","&lt;br&gt;")</f>
        <v/>
      </c>
      <c r="M104" s="42">
        <f>IF(ISBLANK(R104),"&lt;b&gt;","&lt;i&gt;")</f>
        <v/>
      </c>
      <c r="N104" s="42" t="inlineStr">
        <is>
          <t>Dept. of Correction</t>
        </is>
      </c>
      <c r="O104" s="42">
        <f>IF(ISBLANK(R104),"&lt;/b&gt;","&lt;/i&gt;")</f>
        <v/>
      </c>
      <c r="P104" s="4">
        <f>IF(ISBLANK(R104),"","&lt;br&gt;")</f>
        <v/>
      </c>
      <c r="Q104" s="42">
        <f>IF(ISBLANK(R104),"","&lt;b&gt;")</f>
        <v/>
      </c>
      <c r="R104" s="42" t="inlineStr">
        <is>
          <t>Community-Based SUDS Treatment</t>
        </is>
      </c>
      <c r="S104" s="42">
        <f>IF(ISBLANK(R104),"","&lt;/i&gt;")</f>
        <v/>
      </c>
      <c r="T104" s="43">
        <f>IF(ISBLANK(X104),"",IF(OR(AB104="PASSED",ISBLANK(N104)),"&lt;b&gt;","&lt;i&gt;"))</f>
        <v/>
      </c>
      <c r="U104" s="3">
        <f>IF(ISBLANK(V104),"","&lt;a href='")</f>
        <v/>
      </c>
      <c r="V104" s="39" t="inlineStr">
        <is>
          <t>https://legislature.idaho.gov/sessioninfo/2026/legislation/S1331/</t>
        </is>
      </c>
      <c r="W104" s="17">
        <f>IF(ISBLANK(V104),"","'&gt;")</f>
        <v/>
      </c>
      <c r="X104" s="12" t="inlineStr">
        <is>
          <t>Senate Bill 1331</t>
        </is>
      </c>
      <c r="Y104" s="17">
        <f>IF(ISBLANK(X104),"","&lt;/a&gt;")</f>
        <v/>
      </c>
      <c r="Z104" s="42">
        <f>IF(ISBLANK(X104),"",IF(OR(AB104="PASSED",ISBLANK(N104)),"&lt;/b&gt;","&lt;/i&gt;"))</f>
        <v/>
      </c>
      <c r="AA104" s="43">
        <f>IF(AB104="PASSED","&lt;b&gt;","")</f>
        <v/>
      </c>
      <c r="AB104" s="45" t="inlineStr">
        <is>
          <t>PASSED</t>
        </is>
      </c>
      <c r="AC104" s="43">
        <f>IF(AB104="PASSED","&lt;/b&gt;","")</f>
        <v/>
      </c>
      <c r="AD104" s="43">
        <f>IF(ISBLANK(AE104),"","&lt;b&gt;")</f>
        <v/>
      </c>
      <c r="AE104" s="51" t="inlineStr">
        <is>
          <t>03/06</t>
        </is>
      </c>
      <c r="AF104" s="42">
        <f>IF(ISBLANK(AE104),"",": ")</f>
        <v/>
      </c>
      <c r="AG104" s="42" t="inlineStr">
        <is>
          <t>House Vote 48-22</t>
        </is>
      </c>
      <c r="AH104" s="42">
        <f>IF(ISBLANK(AE104),"","&lt;/b&gt;")</f>
        <v/>
      </c>
      <c r="AI104" s="42" t="inlineStr">
        <is>
          <t>03/02: Senate Vote 18-17&lt;br&gt;02/06: FY26 holdback (-4%)</t>
        </is>
      </c>
      <c r="AJ104" s="42">
        <f>IF(ISBLANK(AI104),"","&lt;br&gt;"&amp;AI104)</f>
        <v/>
      </c>
      <c r="AK104" s="4" t="inlineStr">
        <is>
          <t>&lt;br&gt;</t>
        </is>
      </c>
      <c r="AL104" s="42" t="inlineStr">
        <is>
          <t>&lt;b&gt;&lt;i&gt;</t>
        </is>
      </c>
      <c r="AM104" s="42" t="inlineStr">
        <is>
          <t>Governor's 3% + JFAC's 1%&lt;br&gt;Dept. of Correction excluded &lt;br&gt;from additional reduction</t>
        </is>
      </c>
      <c r="AN104" s="42">
        <f>IF(ISBLANK(AM104),"","&lt;/i&gt;")</f>
        <v/>
      </c>
      <c r="AO104" s="35">
        <f>IF(ISBLANK(AQ104),"","&lt;/b&gt;&lt;br&gt;&lt;br&gt;")</f>
        <v/>
      </c>
      <c r="AP104" s="42">
        <f>IF(ISBLANK(AQ104),"","&lt;b&gt;")</f>
        <v/>
      </c>
      <c r="AQ104" s="47" t="inlineStr">
        <is>
          <t xml:space="preserve">Agency Reduction Plan:&lt;br&gt;Additional </t>
        </is>
      </c>
      <c r="AR104" s="42" t="inlineStr">
        <is>
          <t>1</t>
        </is>
      </c>
      <c r="AS104" s="4">
        <f>IF(ISBLANK(AR104),""," %")</f>
        <v/>
      </c>
      <c r="AT104" s="4">
        <f t="array" ref="AT104">_xlfn.IFS(NOT(ISBLANK(AU104))," (pgs. ",NOT(ISBLANK(AS104))," (pg. ", ISBLANK(AS104), "")</f>
        <v/>
      </c>
      <c r="AU104" s="52" t="n">
        <v>104</v>
      </c>
      <c r="AV104" s="4">
        <f>IF(ISBLANK(AW104),"",", ")</f>
        <v/>
      </c>
      <c r="AW104" s="42" t="n"/>
      <c r="AX104" s="4">
        <f>IF(ISBLANK(AY104),"",",&lt;br&gt;")</f>
        <v/>
      </c>
      <c r="AY104" s="42" t="n"/>
      <c r="AZ104" s="49">
        <f>IF(ISBLANK(AU104),"",")&lt;/b&gt;")</f>
        <v/>
      </c>
      <c r="BA104" s="4">
        <f>IF(ISBLANK(BC104),"","&lt;br&gt;")</f>
        <v/>
      </c>
      <c r="BB104" s="42">
        <f t="array" ref="BB104">IF(ISBLANK(BC104),"",_xlfn.LET(
_xlpm.words,_xlfn.TEXTSPLIT(TRIM(BC104),"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04" s="50" t="inlineStr">
        <is>
          <t>The implementation of six furlough days within the Idaho Department of Correction (IDOC) administration will have significant ripple effects across multiple operational areas. Reduced staffing time will impact employee wellness by increasing stress and workload during non-furlough periods, while also creating delays in processing critical tasks such as paying invoices, addressing maintenance concerns, ordering and distributing supplies such as cleaning products to prisons, completing inmate meal planning and ordering, and fulfilling public records requests. These disruptions not only hinder efficiency but could put IDOC out of compliance with public records laws and at-risk for 8th Amendment claims.</t>
        </is>
      </c>
    </row>
    <row r="105">
      <c r="A105" s="20">
        <f>_xlfn.TEXTJOIN("", TRUE, F105:H105)</f>
        <v/>
      </c>
      <c r="B105" s="21">
        <f>_xlfn.TEXTJOIN("", TRUE, I105:S105)</f>
        <v/>
      </c>
      <c r="C105" s="21">
        <f>IF(ISBLANK(X105),"", _xlfn.TEXTJOIN("",TRUE,T105:Z105))</f>
        <v/>
      </c>
      <c r="D105" s="21">
        <f>IF(ISBLANK(AB105), "", _xlfn.TEXTJOIN("", TRUE, AA105:AC105))</f>
        <v/>
      </c>
      <c r="E105" s="22">
        <f>IF(AU105="NA", _xlfn.TEXTJOIN("", TRUE, AD105:AH105), _xlfn.TEXTJOIN("", TRUE, AD105:AJ105))</f>
        <v/>
      </c>
      <c r="F105" s="42">
        <f>IF(LEFT(G105,4)="FY26","&lt;b&gt;","&lt;i&gt;")</f>
        <v/>
      </c>
      <c r="G105" s="42" t="inlineStr">
        <is>
          <t>FY26 Reduction</t>
        </is>
      </c>
      <c r="H105" s="42">
        <f>IF(LEFT(G105,4)="FY26","&lt;/b&gt;","&lt;/i&gt;")</f>
        <v/>
      </c>
      <c r="I105" s="43" t="inlineStr">
        <is>
          <t>&lt;i&gt;</t>
        </is>
      </c>
      <c r="J105" s="44" t="inlineStr">
        <is>
          <t>Public Safety</t>
        </is>
      </c>
      <c r="K105" s="44" t="inlineStr">
        <is>
          <t>&lt;/i&gt;</t>
        </is>
      </c>
      <c r="L105" s="4">
        <f>IF(ISBLANK(N105),"","&lt;br&gt;")</f>
        <v/>
      </c>
      <c r="M105" s="42">
        <f>IF(ISBLANK(R105),"&lt;b&gt;","&lt;i&gt;")</f>
        <v/>
      </c>
      <c r="N105" s="42" t="inlineStr">
        <is>
          <t>Dept. of Correction</t>
        </is>
      </c>
      <c r="O105" s="42">
        <f>IF(ISBLANK(R105),"&lt;/b&gt;","&lt;/i&gt;")</f>
        <v/>
      </c>
      <c r="P105" s="4">
        <f>IF(ISBLANK(R105),"","&lt;br&gt;")</f>
        <v/>
      </c>
      <c r="Q105" s="42">
        <f>IF(ISBLANK(R105),"","&lt;b&gt;")</f>
        <v/>
      </c>
      <c r="R105" s="42" t="inlineStr">
        <is>
          <t>County &amp; Out-of-State Placement</t>
        </is>
      </c>
      <c r="S105" s="42">
        <f>IF(ISBLANK(R105),"","&lt;/i&gt;")</f>
        <v/>
      </c>
      <c r="T105" s="43">
        <f>IF(ISBLANK(X105),"",IF(OR(AB105="PASSED",ISBLANK(N105)),"&lt;b&gt;","&lt;i&gt;"))</f>
        <v/>
      </c>
      <c r="U105" s="3">
        <f>IF(ISBLANK(V105),"","&lt;a href='")</f>
        <v/>
      </c>
      <c r="V105" s="39" t="inlineStr">
        <is>
          <t>https://legislature.idaho.gov/sessioninfo/2026/legislation/S1331/</t>
        </is>
      </c>
      <c r="W105" s="17">
        <f>IF(ISBLANK(V105),"","'&gt;")</f>
        <v/>
      </c>
      <c r="X105" s="12" t="inlineStr">
        <is>
          <t>Senate Bill 1331</t>
        </is>
      </c>
      <c r="Y105" s="17">
        <f>IF(ISBLANK(X105),"","&lt;/a&gt;")</f>
        <v/>
      </c>
      <c r="Z105" s="42">
        <f>IF(ISBLANK(X105),"",IF(OR(AB105="PASSED",ISBLANK(N105)),"&lt;/b&gt;","&lt;/i&gt;"))</f>
        <v/>
      </c>
      <c r="AA105" s="43">
        <f>IF(AB105="PASSED","&lt;b&gt;","")</f>
        <v/>
      </c>
      <c r="AB105" s="45" t="inlineStr">
        <is>
          <t>PASSED</t>
        </is>
      </c>
      <c r="AC105" s="43">
        <f>IF(AB105="PASSED","&lt;/b&gt;","")</f>
        <v/>
      </c>
      <c r="AD105" s="43">
        <f>IF(ISBLANK(AE105),"","&lt;b&gt;")</f>
        <v/>
      </c>
      <c r="AE105" s="51" t="inlineStr">
        <is>
          <t>03/06</t>
        </is>
      </c>
      <c r="AF105" s="42">
        <f>IF(ISBLANK(AE105),"",": ")</f>
        <v/>
      </c>
      <c r="AG105" s="42" t="inlineStr">
        <is>
          <t>House Vote 48-22</t>
        </is>
      </c>
      <c r="AH105" s="42">
        <f>IF(ISBLANK(AE105),"","&lt;/b&gt;")</f>
        <v/>
      </c>
      <c r="AI105" s="42" t="inlineStr">
        <is>
          <t>03/02: Senate Vote 18-17&lt;br&gt;02/06: FY26 holdback (-4%)</t>
        </is>
      </c>
      <c r="AJ105" s="42">
        <f>IF(ISBLANK(AI105),"","&lt;br&gt;"&amp;AI105)</f>
        <v/>
      </c>
      <c r="AK105" s="4" t="inlineStr">
        <is>
          <t>&lt;br&gt;</t>
        </is>
      </c>
      <c r="AL105" s="42" t="inlineStr">
        <is>
          <t>&lt;b&gt;&lt;i&gt;</t>
        </is>
      </c>
      <c r="AM105" s="42" t="inlineStr">
        <is>
          <t>Governor's 3% + JFAC's 1%&lt;br&gt;Dept. of Correction excluded &lt;br&gt;from additional reduction</t>
        </is>
      </c>
      <c r="AN105" s="42">
        <f>IF(ISBLANK(AM105),"","&lt;/i&gt;")</f>
        <v/>
      </c>
      <c r="AO105" s="35">
        <f>IF(ISBLANK(AQ105),"","&lt;/b&gt;&lt;br&gt;&lt;br&gt;")</f>
        <v/>
      </c>
      <c r="AP105" s="42">
        <f>IF(ISBLANK(AQ105),"","&lt;b&gt;")</f>
        <v/>
      </c>
      <c r="AQ105" s="47" t="inlineStr">
        <is>
          <t xml:space="preserve">Agency Reduction Plan:&lt;br&gt;Additional </t>
        </is>
      </c>
      <c r="AR105" s="42" t="inlineStr">
        <is>
          <t>1</t>
        </is>
      </c>
      <c r="AS105" s="4">
        <f>IF(ISBLANK(AR105),""," %")</f>
        <v/>
      </c>
      <c r="AT105" s="4">
        <f t="array" ref="AT105">_xlfn.IFS(NOT(ISBLANK(AU105))," (pgs. ",NOT(ISBLANK(AS105))," (pg. ", ISBLANK(AS105), "")</f>
        <v/>
      </c>
      <c r="AU105" s="52" t="n">
        <v>104</v>
      </c>
      <c r="AV105" s="4">
        <f>IF(ISBLANK(AW105),"",", ")</f>
        <v/>
      </c>
      <c r="AW105" s="42" t="n"/>
      <c r="AX105" s="4">
        <f>IF(ISBLANK(AY105),"",",&lt;br&gt;")</f>
        <v/>
      </c>
      <c r="AY105" s="42" t="n"/>
      <c r="AZ105" s="49">
        <f>IF(ISBLANK(AU105),"",")&lt;/b&gt;")</f>
        <v/>
      </c>
      <c r="BA105" s="4">
        <f>IF(ISBLANK(BC105),"","&lt;br&gt;")</f>
        <v/>
      </c>
      <c r="BB105" s="42">
        <f t="array" ref="BB105">IF(ISBLANK(BC105),"",_xlfn.LET(
_xlpm.words,_xlfn.TEXTSPLIT(TRIM(BC105),"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05" s="50" t="inlineStr">
        <is>
          <t>The implementation of six furlough days within the Idaho Department of Correction (IDOC) administration will have significant ripple effects across multiple operational areas. Reduced staffing time will impact employee wellness by increasing stress and workload during non-furlough periods, while also creating delays in processing critical tasks such as paying invoices, addressing maintenance concerns, ordering and distributing supplies such as cleaning products to prisons, completing inmate meal planning and ordering, and fulfilling public records requests. These disruptions not only hinder efficiency but could put IDOC out of compliance with public records laws and at-risk for 8th Amendment claims.</t>
        </is>
      </c>
    </row>
    <row r="106">
      <c r="A106" s="20">
        <f>_xlfn.TEXTJOIN("", TRUE, F106:H106)</f>
        <v/>
      </c>
      <c r="B106" s="21">
        <f>_xlfn.TEXTJOIN("", TRUE, I106:S106)</f>
        <v/>
      </c>
      <c r="C106" s="21">
        <f>IF(ISBLANK(X106),"", _xlfn.TEXTJOIN("",TRUE,T106:Z106))</f>
        <v/>
      </c>
      <c r="D106" s="21">
        <f>IF(ISBLANK(AB106), "", _xlfn.TEXTJOIN("", TRUE, AA106:AC106))</f>
        <v/>
      </c>
      <c r="E106" s="22">
        <f>IF(AU106="NA", _xlfn.TEXTJOIN("", TRUE, AD106:AH106), _xlfn.TEXTJOIN("", TRUE, AD106:AJ106))</f>
        <v/>
      </c>
      <c r="F106" s="42">
        <f>IF(LEFT(G106,4)="FY26","&lt;b&gt;","&lt;i&gt;")</f>
        <v/>
      </c>
      <c r="G106" s="42" t="inlineStr">
        <is>
          <t>FY26 Reduction</t>
        </is>
      </c>
      <c r="H106" s="42">
        <f>IF(LEFT(G106,4)="FY26","&lt;/b&gt;","&lt;/i&gt;")</f>
        <v/>
      </c>
      <c r="I106" s="43" t="inlineStr">
        <is>
          <t>&lt;i&gt;</t>
        </is>
      </c>
      <c r="J106" s="44" t="inlineStr">
        <is>
          <t>Public Safety</t>
        </is>
      </c>
      <c r="K106" s="44" t="inlineStr">
        <is>
          <t>&lt;/i&gt;</t>
        </is>
      </c>
      <c r="L106" s="4">
        <f>IF(ISBLANK(N106),"","&lt;br&gt;")</f>
        <v/>
      </c>
      <c r="M106" s="42">
        <f>IF(ISBLANK(R106),"&lt;b&gt;","&lt;i&gt;")</f>
        <v/>
      </c>
      <c r="N106" s="42" t="inlineStr">
        <is>
          <t>Dept. of Correction</t>
        </is>
      </c>
      <c r="O106" s="42">
        <f>IF(ISBLANK(R106),"&lt;/b&gt;","&lt;/i&gt;")</f>
        <v/>
      </c>
      <c r="P106" s="4">
        <f>IF(ISBLANK(R106),"","&lt;br&gt;")</f>
        <v/>
      </c>
      <c r="Q106" s="42">
        <f>IF(ISBLANK(R106),"","&lt;b&gt;")</f>
        <v/>
      </c>
      <c r="R106" s="42" t="inlineStr">
        <is>
          <t>Management Services</t>
        </is>
      </c>
      <c r="S106" s="42">
        <f>IF(ISBLANK(R106),"","&lt;/i&gt;")</f>
        <v/>
      </c>
      <c r="T106" s="43">
        <f>IF(ISBLANK(X106),"",IF(OR(AB106="PASSED",ISBLANK(N106)),"&lt;b&gt;","&lt;i&gt;"))</f>
        <v/>
      </c>
      <c r="U106" s="3">
        <f>IF(ISBLANK(V106),"","&lt;a href='")</f>
        <v/>
      </c>
      <c r="V106" s="39" t="inlineStr">
        <is>
          <t>https://legislature.idaho.gov/sessioninfo/2026/legislation/S1331/</t>
        </is>
      </c>
      <c r="W106" s="17">
        <f>IF(ISBLANK(V106),"","'&gt;")</f>
        <v/>
      </c>
      <c r="X106" s="12" t="inlineStr">
        <is>
          <t>Senate Bill 1331</t>
        </is>
      </c>
      <c r="Y106" s="17">
        <f>IF(ISBLANK(X106),"","&lt;/a&gt;")</f>
        <v/>
      </c>
      <c r="Z106" s="42">
        <f>IF(ISBLANK(X106),"",IF(OR(AB106="PASSED",ISBLANK(N106)),"&lt;/b&gt;","&lt;/i&gt;"))</f>
        <v/>
      </c>
      <c r="AA106" s="43">
        <f>IF(AB106="PASSED","&lt;b&gt;","")</f>
        <v/>
      </c>
      <c r="AB106" s="45" t="inlineStr">
        <is>
          <t>PASSED</t>
        </is>
      </c>
      <c r="AC106" s="43">
        <f>IF(AB106="PASSED","&lt;/b&gt;","")</f>
        <v/>
      </c>
      <c r="AD106" s="43">
        <f>IF(ISBLANK(AE106),"","&lt;b&gt;")</f>
        <v/>
      </c>
      <c r="AE106" s="51" t="inlineStr">
        <is>
          <t>03/06</t>
        </is>
      </c>
      <c r="AF106" s="42">
        <f>IF(ISBLANK(AE106),"",": ")</f>
        <v/>
      </c>
      <c r="AG106" s="42" t="inlineStr">
        <is>
          <t>House Vote 48-22</t>
        </is>
      </c>
      <c r="AH106" s="42">
        <f>IF(ISBLANK(AE106),"","&lt;/b&gt;")</f>
        <v/>
      </c>
      <c r="AI106" s="42" t="inlineStr">
        <is>
          <t>03/02: Senate Vote 18-17&lt;br&gt;02/06: FY26 holdback (-4%)</t>
        </is>
      </c>
      <c r="AJ106" s="42">
        <f>IF(ISBLANK(AI106),"","&lt;br&gt;"&amp;AI106)</f>
        <v/>
      </c>
      <c r="AK106" s="4" t="inlineStr">
        <is>
          <t>&lt;br&gt;</t>
        </is>
      </c>
      <c r="AL106" s="42" t="inlineStr">
        <is>
          <t>&lt;b&gt;&lt;i&gt;</t>
        </is>
      </c>
      <c r="AM106" s="42" t="inlineStr">
        <is>
          <t>Governor's 3% + JFAC's 1%&lt;br&gt;Dept. of Correction excluded &lt;br&gt;from additional reduction</t>
        </is>
      </c>
      <c r="AN106" s="42">
        <f>IF(ISBLANK(AM106),"","&lt;/i&gt;")</f>
        <v/>
      </c>
      <c r="AO106" s="35">
        <f>IF(ISBLANK(AQ106),"","&lt;/b&gt;&lt;br&gt;&lt;br&gt;")</f>
        <v/>
      </c>
      <c r="AP106" s="42">
        <f>IF(ISBLANK(AQ106),"","&lt;b&gt;")</f>
        <v/>
      </c>
      <c r="AQ106" s="47" t="inlineStr">
        <is>
          <t xml:space="preserve">Agency Reduction Plan:&lt;br&gt;Additional </t>
        </is>
      </c>
      <c r="AR106" s="42" t="inlineStr">
        <is>
          <t>1</t>
        </is>
      </c>
      <c r="AS106" s="4">
        <f>IF(ISBLANK(AR106),""," %")</f>
        <v/>
      </c>
      <c r="AT106" s="4">
        <f t="array" ref="AT106">_xlfn.IFS(NOT(ISBLANK(AU106))," (pgs. ",NOT(ISBLANK(AS106))," (pg. ", ISBLANK(AS106), "")</f>
        <v/>
      </c>
      <c r="AU106" s="52" t="n">
        <v>104</v>
      </c>
      <c r="AV106" s="4">
        <f>IF(ISBLANK(AW106),"",", ")</f>
        <v/>
      </c>
      <c r="AW106" s="42" t="n"/>
      <c r="AX106" s="4">
        <f>IF(ISBLANK(AY106),"",",&lt;br&gt;")</f>
        <v/>
      </c>
      <c r="AY106" s="42" t="n"/>
      <c r="AZ106" s="49">
        <f>IF(ISBLANK(AU106),"",")&lt;/b&gt;")</f>
        <v/>
      </c>
      <c r="BA106" s="4">
        <f>IF(ISBLANK(BC106),"","&lt;br&gt;")</f>
        <v/>
      </c>
      <c r="BB106" s="42">
        <f t="array" ref="BB106">IF(ISBLANK(BC106),"",_xlfn.LET(
_xlpm.words,_xlfn.TEXTSPLIT(TRIM(BC106),"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06" s="50" t="inlineStr">
        <is>
          <t>The implementation of six furlough days within the Idaho Department of Correction (IDOC) administration will have significant ripple effects across multiple operational areas. Reduced staffing time will impact employee wellness by increasing stress and workload during non-furlough periods, while also creating delays in processing critical tasks such as paying invoices, addressing maintenance concerns, ordering and distributing supplies such as cleaning products to prisons, completing inmate meal planning and ordering, and fulfilling public records requests. These disruptions not only hinder efficiency but could put IDOC out of compliance with public records laws and at-risk for 8th Amendment claims.</t>
        </is>
      </c>
    </row>
    <row r="107">
      <c r="A107" s="20">
        <f>_xlfn.TEXTJOIN("", TRUE, F107:H107)</f>
        <v/>
      </c>
      <c r="B107" s="21">
        <f>_xlfn.TEXTJOIN("", TRUE, I107:S107)</f>
        <v/>
      </c>
      <c r="C107" s="21">
        <f>IF(ISBLANK(X107),"", _xlfn.TEXTJOIN("",TRUE,T107:Z107))</f>
        <v/>
      </c>
      <c r="D107" s="21">
        <f>IF(ISBLANK(AB107), "", _xlfn.TEXTJOIN("", TRUE, AA107:AC107))</f>
        <v/>
      </c>
      <c r="E107" s="22">
        <f>IF(AU107="NA", _xlfn.TEXTJOIN("", TRUE, AD107:AH107), _xlfn.TEXTJOIN("", TRUE, AD107:AJ107))</f>
        <v/>
      </c>
      <c r="F107" s="42">
        <f>IF(LEFT(G107,4)="FY26","&lt;b&gt;","&lt;i&gt;")</f>
        <v/>
      </c>
      <c r="G107" s="42" t="inlineStr">
        <is>
          <t>FY26 Reduction</t>
        </is>
      </c>
      <c r="H107" s="42">
        <f>IF(LEFT(G107,4)="FY26","&lt;/b&gt;","&lt;/i&gt;")</f>
        <v/>
      </c>
      <c r="I107" s="43" t="inlineStr">
        <is>
          <t>&lt;i&gt;</t>
        </is>
      </c>
      <c r="J107" s="44" t="inlineStr">
        <is>
          <t>Public Safety</t>
        </is>
      </c>
      <c r="K107" s="44" t="inlineStr">
        <is>
          <t>&lt;/i&gt;</t>
        </is>
      </c>
      <c r="L107" s="4">
        <f>IF(ISBLANK(N107),"","&lt;br&gt;")</f>
        <v/>
      </c>
      <c r="M107" s="42">
        <f>IF(ISBLANK(R107),"&lt;b&gt;","&lt;i&gt;")</f>
        <v/>
      </c>
      <c r="N107" s="42" t="inlineStr">
        <is>
          <t>Dept. of Correction</t>
        </is>
      </c>
      <c r="O107" s="42">
        <f>IF(ISBLANK(R107),"&lt;/b&gt;","&lt;/i&gt;")</f>
        <v/>
      </c>
      <c r="P107" s="4">
        <f>IF(ISBLANK(R107),"","&lt;br&gt;")</f>
        <v/>
      </c>
      <c r="Q107" s="42">
        <f>IF(ISBLANK(R107),"","&lt;b&gt;")</f>
        <v/>
      </c>
      <c r="R107" s="42" t="inlineStr">
        <is>
          <t>Medical Services</t>
        </is>
      </c>
      <c r="S107" s="42">
        <f>IF(ISBLANK(R107),"","&lt;/i&gt;")</f>
        <v/>
      </c>
      <c r="T107" s="43">
        <f>IF(ISBLANK(X107),"",IF(OR(AB107="PASSED",ISBLANK(N107)),"&lt;b&gt;","&lt;i&gt;"))</f>
        <v/>
      </c>
      <c r="U107" s="3">
        <f>IF(ISBLANK(V107),"","&lt;a href='")</f>
        <v/>
      </c>
      <c r="V107" s="39" t="inlineStr">
        <is>
          <t>https://legislature.idaho.gov/sessioninfo/2026/legislation/S1331/</t>
        </is>
      </c>
      <c r="W107" s="17">
        <f>IF(ISBLANK(V107),"","'&gt;")</f>
        <v/>
      </c>
      <c r="X107" s="12" t="inlineStr">
        <is>
          <t>Senate Bill 1331</t>
        </is>
      </c>
      <c r="Y107" s="17">
        <f>IF(ISBLANK(X107),"","&lt;/a&gt;")</f>
        <v/>
      </c>
      <c r="Z107" s="42">
        <f>IF(ISBLANK(X107),"",IF(OR(AB107="PASSED",ISBLANK(N107)),"&lt;/b&gt;","&lt;/i&gt;"))</f>
        <v/>
      </c>
      <c r="AA107" s="43">
        <f>IF(AB107="PASSED","&lt;b&gt;","")</f>
        <v/>
      </c>
      <c r="AB107" s="45" t="inlineStr">
        <is>
          <t>PASSED</t>
        </is>
      </c>
      <c r="AC107" s="43">
        <f>IF(AB107="PASSED","&lt;/b&gt;","")</f>
        <v/>
      </c>
      <c r="AD107" s="43">
        <f>IF(ISBLANK(AE107),"","&lt;b&gt;")</f>
        <v/>
      </c>
      <c r="AE107" s="51" t="inlineStr">
        <is>
          <t>03/06</t>
        </is>
      </c>
      <c r="AF107" s="42">
        <f>IF(ISBLANK(AE107),"",": ")</f>
        <v/>
      </c>
      <c r="AG107" s="42" t="inlineStr">
        <is>
          <t>House Vote 48-22</t>
        </is>
      </c>
      <c r="AH107" s="42">
        <f>IF(ISBLANK(AE107),"","&lt;/b&gt;")</f>
        <v/>
      </c>
      <c r="AI107" s="42" t="inlineStr">
        <is>
          <t>03/02: Senate Vote 18-17&lt;br&gt;02/06: FY26 holdback (-4%)</t>
        </is>
      </c>
      <c r="AJ107" s="42">
        <f>IF(ISBLANK(AI107),"","&lt;br&gt;"&amp;AI107)</f>
        <v/>
      </c>
      <c r="AK107" s="4" t="inlineStr">
        <is>
          <t>&lt;br&gt;</t>
        </is>
      </c>
      <c r="AL107" s="42" t="inlineStr">
        <is>
          <t>&lt;b&gt;&lt;i&gt;</t>
        </is>
      </c>
      <c r="AM107" s="42" t="inlineStr">
        <is>
          <t>Governor's 3% + JFAC's 1%&lt;br&gt;Dept. of Correction excluded &lt;br&gt;from additional reduction</t>
        </is>
      </c>
      <c r="AN107" s="42">
        <f>IF(ISBLANK(AM107),"","&lt;/i&gt;")</f>
        <v/>
      </c>
      <c r="AO107" s="35">
        <f>IF(ISBLANK(AQ107),"","&lt;/b&gt;&lt;br&gt;&lt;br&gt;")</f>
        <v/>
      </c>
      <c r="AP107" s="42">
        <f>IF(ISBLANK(AQ107),"","&lt;b&gt;")</f>
        <v/>
      </c>
      <c r="AQ107" s="47" t="inlineStr">
        <is>
          <t xml:space="preserve">Agency Reduction Plan:&lt;br&gt;Additional </t>
        </is>
      </c>
      <c r="AR107" s="42" t="inlineStr">
        <is>
          <t>1</t>
        </is>
      </c>
      <c r="AS107" s="4">
        <f>IF(ISBLANK(AR107),""," %")</f>
        <v/>
      </c>
      <c r="AT107" s="4">
        <f t="array" ref="AT107">_xlfn.IFS(NOT(ISBLANK(AU107))," (pgs. ",NOT(ISBLANK(AS107))," (pg. ", ISBLANK(AS107), "")</f>
        <v/>
      </c>
      <c r="AU107" s="52" t="n">
        <v>104</v>
      </c>
      <c r="AV107" s="4">
        <f>IF(ISBLANK(AW107),"",", ")</f>
        <v/>
      </c>
      <c r="AW107" s="42" t="n"/>
      <c r="AX107" s="4">
        <f>IF(ISBLANK(AY107),"",",&lt;br&gt;")</f>
        <v/>
      </c>
      <c r="AY107" s="42" t="n"/>
      <c r="AZ107" s="49">
        <f>IF(ISBLANK(AU107),"",")&lt;/b&gt;")</f>
        <v/>
      </c>
      <c r="BA107" s="4">
        <f>IF(ISBLANK(BC107),"","&lt;br&gt;")</f>
        <v/>
      </c>
      <c r="BB107" s="42">
        <f t="array" ref="BB107">IF(ISBLANK(BC107),"",_xlfn.LET(
_xlpm.words,_xlfn.TEXTSPLIT(TRIM(BC107),"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07" s="50" t="inlineStr">
        <is>
          <t>The implementation of six furlough days within the Idaho Department of Correction (IDOC) administration will have significant ripple effects across multiple operational areas. Reduced staffing time will impact employee wellness by increasing stress and workload during non-furlough periods, while also creating delays in processing critical tasks such as paying invoices, addressing maintenance concerns, ordering and distributing supplies such as cleaning products to prisons, completing inmate meal planning and ordering, and fulfilling public records requests. These disruptions not only hinder efficiency but could put IDOC out of compliance with public records laws and at-risk for 8th Amendment claims.</t>
        </is>
      </c>
    </row>
    <row r="108">
      <c r="A108" s="20">
        <f>_xlfn.TEXTJOIN("", TRUE, F108:H108)</f>
        <v/>
      </c>
      <c r="B108" s="21">
        <f>_xlfn.TEXTJOIN("", TRUE, I108:S108)</f>
        <v/>
      </c>
      <c r="C108" s="21">
        <f>IF(ISBLANK(X108),"", _xlfn.TEXTJOIN("",TRUE,T108:Z108))</f>
        <v/>
      </c>
      <c r="D108" s="21">
        <f>IF(ISBLANK(AB108), "", _xlfn.TEXTJOIN("", TRUE, AA108:AC108))</f>
        <v/>
      </c>
      <c r="E108" s="22">
        <f>IF(AU108="NA", _xlfn.TEXTJOIN("", TRUE, AD108:AH108), _xlfn.TEXTJOIN("", TRUE, AD108:AJ108))</f>
        <v/>
      </c>
      <c r="F108" s="42">
        <f>IF(LEFT(G108,4)="FY26","&lt;b&gt;","&lt;i&gt;")</f>
        <v/>
      </c>
      <c r="G108" s="42" t="inlineStr">
        <is>
          <t>FY26 Reduction</t>
        </is>
      </c>
      <c r="H108" s="42">
        <f>IF(LEFT(G108,4)="FY26","&lt;/b&gt;","&lt;/i&gt;")</f>
        <v/>
      </c>
      <c r="I108" s="43" t="inlineStr">
        <is>
          <t>&lt;i&gt;</t>
        </is>
      </c>
      <c r="J108" s="44" t="inlineStr">
        <is>
          <t>Public Safety</t>
        </is>
      </c>
      <c r="K108" s="44" t="inlineStr">
        <is>
          <t>&lt;/i&gt;</t>
        </is>
      </c>
      <c r="L108" s="4">
        <f>IF(ISBLANK(N108),"","&lt;br&gt;")</f>
        <v/>
      </c>
      <c r="M108" s="42">
        <f>IF(ISBLANK(R108),"&lt;b&gt;","&lt;i&gt;")</f>
        <v/>
      </c>
      <c r="N108" s="42" t="inlineStr">
        <is>
          <t>Dept. of Correction</t>
        </is>
      </c>
      <c r="O108" s="42">
        <f>IF(ISBLANK(R108),"&lt;/b&gt;","&lt;/i&gt;")</f>
        <v/>
      </c>
      <c r="P108" s="4">
        <f>IF(ISBLANK(R108),"","&lt;br&gt;")</f>
        <v/>
      </c>
      <c r="Q108" s="42">
        <f>IF(ISBLANK(R108),"","&lt;b&gt;")</f>
        <v/>
      </c>
      <c r="R108" s="42" t="inlineStr">
        <is>
          <t>State Prisons</t>
        </is>
      </c>
      <c r="S108" s="42">
        <f>IF(ISBLANK(R108),"","&lt;/i&gt;")</f>
        <v/>
      </c>
      <c r="T108" s="43">
        <f>IF(ISBLANK(X108),"",IF(OR(AB108="PASSED",ISBLANK(N108)),"&lt;b&gt;","&lt;i&gt;"))</f>
        <v/>
      </c>
      <c r="U108" s="3">
        <f>IF(ISBLANK(V108),"","&lt;a href='")</f>
        <v/>
      </c>
      <c r="V108" s="39" t="inlineStr">
        <is>
          <t>https://legislature.idaho.gov/sessioninfo/2026/legislation/S1331/</t>
        </is>
      </c>
      <c r="W108" s="17">
        <f>IF(ISBLANK(V108),"","'&gt;")</f>
        <v/>
      </c>
      <c r="X108" s="12" t="inlineStr">
        <is>
          <t>Senate Bill 1331</t>
        </is>
      </c>
      <c r="Y108" s="17">
        <f>IF(ISBLANK(X108),"","&lt;/a&gt;")</f>
        <v/>
      </c>
      <c r="Z108" s="42">
        <f>IF(ISBLANK(X108),"",IF(OR(AB108="PASSED",ISBLANK(N108)),"&lt;/b&gt;","&lt;/i&gt;"))</f>
        <v/>
      </c>
      <c r="AA108" s="43">
        <f>IF(AB108="PASSED","&lt;b&gt;","")</f>
        <v/>
      </c>
      <c r="AB108" s="45" t="inlineStr">
        <is>
          <t>PASSED</t>
        </is>
      </c>
      <c r="AC108" s="43">
        <f>IF(AB108="PASSED","&lt;/b&gt;","")</f>
        <v/>
      </c>
      <c r="AD108" s="43">
        <f>IF(ISBLANK(AE108),"","&lt;b&gt;")</f>
        <v/>
      </c>
      <c r="AE108" s="51" t="inlineStr">
        <is>
          <t>03/06</t>
        </is>
      </c>
      <c r="AF108" s="42">
        <f>IF(ISBLANK(AE108),"",": ")</f>
        <v/>
      </c>
      <c r="AG108" s="42" t="inlineStr">
        <is>
          <t>House Vote 48-22</t>
        </is>
      </c>
      <c r="AH108" s="42">
        <f>IF(ISBLANK(AE108),"","&lt;/b&gt;")</f>
        <v/>
      </c>
      <c r="AI108" s="42" t="inlineStr">
        <is>
          <t>03/02: Senate Vote 18-17&lt;br&gt;02/06: FY26 holdback (-4%)</t>
        </is>
      </c>
      <c r="AJ108" s="42">
        <f>IF(ISBLANK(AI108),"","&lt;br&gt;"&amp;AI108)</f>
        <v/>
      </c>
      <c r="AK108" s="4" t="inlineStr">
        <is>
          <t>&lt;br&gt;</t>
        </is>
      </c>
      <c r="AL108" s="42" t="inlineStr">
        <is>
          <t>&lt;b&gt;&lt;i&gt;</t>
        </is>
      </c>
      <c r="AM108" s="42" t="inlineStr">
        <is>
          <t>Governor's 3% + JFAC's 1%&lt;br&gt;Dept. of Correction excluded &lt;br&gt;from additional reduction</t>
        </is>
      </c>
      <c r="AN108" s="42">
        <f>IF(ISBLANK(AM108),"","&lt;/i&gt;")</f>
        <v/>
      </c>
      <c r="AO108" s="35">
        <f>IF(ISBLANK(AQ108),"","&lt;/b&gt;&lt;br&gt;&lt;br&gt;")</f>
        <v/>
      </c>
      <c r="AP108" s="42">
        <f>IF(ISBLANK(AQ108),"","&lt;b&gt;")</f>
        <v/>
      </c>
      <c r="AQ108" s="47" t="inlineStr">
        <is>
          <t xml:space="preserve">Agency Reduction Plan:&lt;br&gt;Additional </t>
        </is>
      </c>
      <c r="AR108" s="42" t="inlineStr">
        <is>
          <t>1</t>
        </is>
      </c>
      <c r="AS108" s="4">
        <f>IF(ISBLANK(AR108),""," %")</f>
        <v/>
      </c>
      <c r="AT108" s="4">
        <f t="array" ref="AT108">_xlfn.IFS(NOT(ISBLANK(AU108))," (pgs. ",NOT(ISBLANK(AS108))," (pg. ", ISBLANK(AS108), "")</f>
        <v/>
      </c>
      <c r="AU108" s="52" t="n">
        <v>104</v>
      </c>
      <c r="AV108" s="4">
        <f>IF(ISBLANK(AW108),"",", ")</f>
        <v/>
      </c>
      <c r="AW108" s="42" t="n"/>
      <c r="AX108" s="4">
        <f>IF(ISBLANK(AY108),"",",&lt;br&gt;")</f>
        <v/>
      </c>
      <c r="AY108" s="42" t="n"/>
      <c r="AZ108" s="49">
        <f>IF(ISBLANK(AU108),"",")&lt;/b&gt;")</f>
        <v/>
      </c>
      <c r="BA108" s="4">
        <f>IF(ISBLANK(BC108),"","&lt;br&gt;")</f>
        <v/>
      </c>
      <c r="BB108" s="42">
        <f t="array" ref="BB108">IF(ISBLANK(BC108),"",_xlfn.LET(
_xlpm.words,_xlfn.TEXTSPLIT(TRIM(BC108),"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08" s="50" t="inlineStr">
        <is>
          <t>The implementation of six furlough days within the Idaho Department of Correction (IDOC) administration will have significant ripple effects across multiple operational areas. Reduced staffing time will impact employee wellness by increasing stress and workload during non-furlough periods, while also creating delays in processing critical tasks such as paying invoices, addressing maintenance concerns, ordering and distributing supplies such as cleaning products to prisons, completing inmate meal planning and ordering, and fulfilling public records requests. These disruptions not only hinder efficiency but could put IDOC out of compliance with public records laws and at-risk for 8th Amendment claims.</t>
        </is>
      </c>
    </row>
    <row r="109">
      <c r="A109" s="20">
        <f>_xlfn.TEXTJOIN("", TRUE, F109:H109)</f>
        <v/>
      </c>
      <c r="B109" s="21">
        <f>_xlfn.TEXTJOIN("", TRUE, I109:S109)</f>
        <v/>
      </c>
      <c r="C109" s="21">
        <f>IF(ISBLANK(X109),"", _xlfn.TEXTJOIN("",TRUE,T109:Z109))</f>
        <v/>
      </c>
      <c r="D109" s="21">
        <f>IF(ISBLANK(AB109), "", _xlfn.TEXTJOIN("", TRUE, AA109:AC109))</f>
        <v/>
      </c>
      <c r="E109" s="22">
        <f>IF(AU109="NA", _xlfn.TEXTJOIN("", TRUE, AD109:AH109), _xlfn.TEXTJOIN("", TRUE, AD109:AJ109))</f>
        <v/>
      </c>
      <c r="F109" s="42">
        <f>IF(LEFT(G109,4)="FY26","&lt;b&gt;","&lt;i&gt;")</f>
        <v/>
      </c>
      <c r="G109" s="42" t="inlineStr">
        <is>
          <t>FY26 Reduction</t>
        </is>
      </c>
      <c r="H109" s="42">
        <f>IF(LEFT(G109,4)="FY26","&lt;/b&gt;","&lt;/i&gt;")</f>
        <v/>
      </c>
      <c r="I109" s="43" t="inlineStr">
        <is>
          <t>&lt;i&gt;</t>
        </is>
      </c>
      <c r="J109" s="44" t="inlineStr">
        <is>
          <t>Public Safety</t>
        </is>
      </c>
      <c r="K109" s="44" t="inlineStr">
        <is>
          <t>&lt;/i&gt;</t>
        </is>
      </c>
      <c r="L109" s="4">
        <f>IF(ISBLANK(N109),"","&lt;br&gt;")</f>
        <v/>
      </c>
      <c r="M109" s="42">
        <f>IF(ISBLANK(R109),"&lt;b&gt;","&lt;i&gt;")</f>
        <v/>
      </c>
      <c r="N109" s="42" t="inlineStr">
        <is>
          <t>Dept. of Juvenile Corrections</t>
        </is>
      </c>
      <c r="O109" s="42">
        <f>IF(ISBLANK(R109),"&lt;/b&gt;","&lt;/i&gt;")</f>
        <v/>
      </c>
      <c r="P109" s="4">
        <f>IF(ISBLANK(R109),"","&lt;br&gt;")</f>
        <v/>
      </c>
      <c r="Q109" s="42">
        <f>IF(ISBLANK(R109),"","&lt;b&gt;")</f>
        <v/>
      </c>
      <c r="R109" s="42" t="n"/>
      <c r="S109" s="42">
        <f>IF(ISBLANK(R109),"","&lt;/i&gt;")</f>
        <v/>
      </c>
      <c r="T109" s="43">
        <f>IF(ISBLANK(X109),"",IF(OR(AB109="PASSED",ISBLANK(N109)),"&lt;b&gt;","&lt;i&gt;"))</f>
        <v/>
      </c>
      <c r="U109" s="3">
        <f>IF(ISBLANK(V109),"","&lt;a href='")</f>
        <v/>
      </c>
      <c r="V109" s="39" t="inlineStr">
        <is>
          <t>https://legislature.idaho.gov/sessioninfo/2026/legislation/S1331/</t>
        </is>
      </c>
      <c r="W109" s="17">
        <f>IF(ISBLANK(V109),"","'&gt;")</f>
        <v/>
      </c>
      <c r="X109" s="12" t="inlineStr">
        <is>
          <t>Senate Bill 1331</t>
        </is>
      </c>
      <c r="Y109" s="17">
        <f>IF(ISBLANK(X109),"","&lt;/a&gt;")</f>
        <v/>
      </c>
      <c r="Z109" s="42">
        <f>IF(ISBLANK(X109),"",IF(OR(AB109="PASSED",ISBLANK(N109)),"&lt;/b&gt;","&lt;/i&gt;"))</f>
        <v/>
      </c>
      <c r="AA109" s="43">
        <f>IF(AB109="PASSED","&lt;b&gt;","")</f>
        <v/>
      </c>
      <c r="AB109" s="45" t="inlineStr">
        <is>
          <t>PASSED</t>
        </is>
      </c>
      <c r="AC109" s="43">
        <f>IF(AB109="PASSED","&lt;/b&gt;","")</f>
        <v/>
      </c>
      <c r="AD109" s="43">
        <f>IF(ISBLANK(AE109),"","&lt;b&gt;")</f>
        <v/>
      </c>
      <c r="AE109" s="51" t="inlineStr">
        <is>
          <t>03/06</t>
        </is>
      </c>
      <c r="AF109" s="42">
        <f>IF(ISBLANK(AE109),"",": ")</f>
        <v/>
      </c>
      <c r="AG109" s="42" t="inlineStr">
        <is>
          <t>House Vote 48-22</t>
        </is>
      </c>
      <c r="AH109" s="42">
        <f>IF(ISBLANK(AE109),"","&lt;/b&gt;")</f>
        <v/>
      </c>
      <c r="AI109" s="42" t="inlineStr">
        <is>
          <t>03/02: Senate Vote 18-17&lt;br&gt;02/06: FY26 holdback (-4%)</t>
        </is>
      </c>
      <c r="AJ109" s="42">
        <f>IF(ISBLANK(AI109),"","&lt;br&gt;"&amp;AI109)</f>
        <v/>
      </c>
      <c r="AK109" s="4" t="inlineStr">
        <is>
          <t>&lt;br&gt;</t>
        </is>
      </c>
      <c r="AL109" s="42" t="inlineStr">
        <is>
          <t>&lt;b&gt;&lt;i&gt;</t>
        </is>
      </c>
      <c r="AM109" s="42" t="inlineStr">
        <is>
          <t>Governor's 3% + JFAC's 1%</t>
        </is>
      </c>
      <c r="AN109" s="42">
        <f>IF(ISBLANK(AM109),"","&lt;/i&gt;")</f>
        <v/>
      </c>
      <c r="AO109" s="35">
        <f>IF(ISBLANK(AQ109),"","&lt;/b&gt;&lt;br&gt;&lt;br&gt;")</f>
        <v/>
      </c>
      <c r="AP109" s="42">
        <f>IF(ISBLANK(AQ109),"","&lt;b&gt;")</f>
        <v/>
      </c>
      <c r="AQ109" s="47" t="inlineStr">
        <is>
          <t xml:space="preserve">Agency Reduction Plan:&lt;br&gt;Additional </t>
        </is>
      </c>
      <c r="AR109" s="42" t="inlineStr">
        <is>
          <t>1</t>
        </is>
      </c>
      <c r="AS109" s="4">
        <f>IF(ISBLANK(AR109),""," %")</f>
        <v/>
      </c>
      <c r="AT109" s="4">
        <f t="array" ref="AT109">_xlfn.IFS(NOT(ISBLANK(AU109))," (pgs. ",NOT(ISBLANK(AS109))," (pg. ", ISBLANK(AS109), "")</f>
        <v/>
      </c>
      <c r="AU109" s="52" t="n">
        <v>112</v>
      </c>
      <c r="AV109" s="4">
        <f>IF(ISBLANK(AW109),"",", ")</f>
        <v/>
      </c>
      <c r="AW109" s="53" t="n">
        <v>113</v>
      </c>
      <c r="AX109" s="4">
        <f>IF(ISBLANK(AY109),"",",&lt;br&gt;")</f>
        <v/>
      </c>
      <c r="AY109" s="53" t="inlineStr">
        <is>
          <t>114, 115, 116</t>
        </is>
      </c>
      <c r="AZ109" s="49">
        <f>IF(ISBLANK(AU109),"",")&lt;/b&gt;")</f>
        <v/>
      </c>
      <c r="BA109" s="4">
        <f>IF(ISBLANK(BC109),"","&lt;br&gt;")</f>
        <v/>
      </c>
      <c r="BB109" s="42">
        <f t="array" ref="BB109">IF(ISBLANK(BC109),"",_xlfn.LET(
_xlpm.words,_xlfn.TEXTSPLIT(TRIM(BC109),"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09" s="50" t="inlineStr">
        <is>
          <t>The 1% plans for FY26 and FY27 do not include any removal of funded FTP positions. Reductions are focused on operational contracts, community diversion and prevention support, and training, not staffing reductions. No reductions in force (RIF) or furloughs are anticipated under the 1% plans. A $350,000 reduction creates risk to the Idaho’s network of Youth Assessment Centers, which provide crisis screening, needs assessments, referrals, and short-term stabilization for at-risk youth before they escalate into the juvenile justice system. Impacts will be especially pronounced in rural communities, where early-intervention capacity is already limited. This reduction will shift greater burdens to schools, law enforcement, behavioral health systems, and courts. Assessment Centers provide a critical service in the prevention and diversion efforts within the juvenile justice system.Funding reductions will decrease access to mentoring, one of Idaho’s most effective tools for prevention, relationship building, and early intervention. Mentors serve as trusted adults who help youth navigate school disengagement, early substance use, trauma, and peer risk. Many youth may not have safe and stable relationships with the adults in their lives, and mentoring fills a crucial gap in relationships that often are the catalyst for developing resiliency in youth. Fewer mentors increase wait times, reduce availability in rural counties, and raise the likelihood of deeper juvenile justice involvement.In-house laundry operations depend on adequate staffing; any staffing shortages may eliminate the ability to ensure laundry services are completed in a timely manner, which is critical to safe and hygienic practices within juvenile correctional facilities. In addition, it would be difficult to re-engage a contracted provider, creating immediate gaps in essential sanitation services and elevating health/safety risks. Funds support statewide training and coordination for SROs, a function established in 2022 in response to statewide safety needs. Statewide, there are about 191 SROs working in 77 school districts. Two-thirds (67%) of Idaho’s public school districts had an SRO program in 2023, accounting for about 92% of Idaho’s public school enrollment that year. Reductions would erode training consistency, guidance, and access to best practices, particularly affecting rural districts. Statewide SRO Coordination is a partnership between IDJC and the State Department of Education in order to support safety for kids and teachers in Idaho Schools. Loss of this dedicated funding limits specialized training for mental health clinicians in county juvenile detention centers who manage some of the most complex youth mental health needs in detention. Inequality in training across jurisdictions could create inconsistency in suicide prevention, trauma response, and crisis intervention practices. Further, county partners often rely on IDJC funding for clinical positions and expertise in their facilities. Omnigo is a system implemented by IDJC in 2023 to ensure welfare checks on juveniles in their rooms are completed routinely and in a timely manner. Welfare checks are a critical piece of an effective and safe suicide prevention program within correctional facilities. This reduction removes training for staff on the Omnigo system in FY26 and FY27. Given the amount of staff turnover within correctional facilities, vendor training is used to ensure new staff have appropriate training on the existing system and provides advanced reporting and analytics capabilities.</t>
        </is>
      </c>
    </row>
    <row r="110">
      <c r="A110" s="20">
        <f>_xlfn.TEXTJOIN("", TRUE, F110:H110)</f>
        <v/>
      </c>
      <c r="B110" s="21">
        <f>_xlfn.TEXTJOIN("", TRUE, I110:S110)</f>
        <v/>
      </c>
      <c r="C110" s="21">
        <f>IF(ISBLANK(X110),"", _xlfn.TEXTJOIN("",TRUE,T110:Z110))</f>
        <v/>
      </c>
      <c r="D110" s="21">
        <f>IF(ISBLANK(AB110), "", _xlfn.TEXTJOIN("", TRUE, AA110:AC110))</f>
        <v/>
      </c>
      <c r="E110" s="22">
        <f>IF(AU110="NA", _xlfn.TEXTJOIN("", TRUE, AD110:AH110), _xlfn.TEXTJOIN("", TRUE, AD110:AJ110))</f>
        <v/>
      </c>
      <c r="F110" s="42">
        <f>IF(LEFT(G110,4)="FY26","&lt;b&gt;","&lt;i&gt;")</f>
        <v/>
      </c>
      <c r="G110" s="42" t="inlineStr">
        <is>
          <t>FY26 Reduction</t>
        </is>
      </c>
      <c r="H110" s="42">
        <f>IF(LEFT(G110,4)="FY26","&lt;/b&gt;","&lt;/i&gt;")</f>
        <v/>
      </c>
      <c r="I110" s="43" t="inlineStr">
        <is>
          <t>&lt;i&gt;</t>
        </is>
      </c>
      <c r="J110" s="44" t="inlineStr">
        <is>
          <t>Public Safety</t>
        </is>
      </c>
      <c r="K110" s="44" t="inlineStr">
        <is>
          <t>&lt;/i&gt;</t>
        </is>
      </c>
      <c r="L110" s="4">
        <f>IF(ISBLANK(N110),"","&lt;br&gt;")</f>
        <v/>
      </c>
      <c r="M110" s="42">
        <f>IF(ISBLANK(R110),"&lt;b&gt;","&lt;i&gt;")</f>
        <v/>
      </c>
      <c r="N110" s="42" t="inlineStr">
        <is>
          <t>Idaho State Police</t>
        </is>
      </c>
      <c r="O110" s="42">
        <f>IF(ISBLANK(R110),"&lt;/b&gt;","&lt;/i&gt;")</f>
        <v/>
      </c>
      <c r="P110" s="4">
        <f>IF(ISBLANK(R110),"","&lt;br&gt;")</f>
        <v/>
      </c>
      <c r="Q110" s="42">
        <f>IF(ISBLANK(R110),"","&lt;b&gt;")</f>
        <v/>
      </c>
      <c r="R110" s="42" t="n"/>
      <c r="S110" s="42">
        <f>IF(ISBLANK(R110),"","&lt;/i&gt;")</f>
        <v/>
      </c>
      <c r="T110" s="43">
        <f>IF(ISBLANK(X110),"",IF(OR(AB110="PASSED",ISBLANK(N110)),"&lt;b&gt;","&lt;i&gt;"))</f>
        <v/>
      </c>
      <c r="U110" s="3">
        <f>IF(ISBLANK(V110),"","&lt;a href='")</f>
        <v/>
      </c>
      <c r="V110" s="39" t="inlineStr">
        <is>
          <t>https://legislature.idaho.gov/sessioninfo/2026/legislation/S1331/</t>
        </is>
      </c>
      <c r="W110" s="17">
        <f>IF(ISBLANK(V110),"","'&gt;")</f>
        <v/>
      </c>
      <c r="X110" s="12" t="inlineStr">
        <is>
          <t>Senate Bill 1331</t>
        </is>
      </c>
      <c r="Y110" s="17">
        <f>IF(ISBLANK(X110),"","&lt;/a&gt;")</f>
        <v/>
      </c>
      <c r="Z110" s="42">
        <f>IF(ISBLANK(X110),"",IF(OR(AB110="PASSED",ISBLANK(N110)),"&lt;/b&gt;","&lt;/i&gt;"))</f>
        <v/>
      </c>
      <c r="AA110" s="43">
        <f>IF(AB110="PASSED","&lt;b&gt;","")</f>
        <v/>
      </c>
      <c r="AB110" s="45" t="inlineStr">
        <is>
          <t>PASSED</t>
        </is>
      </c>
      <c r="AC110" s="43">
        <f>IF(AB110="PASSED","&lt;/b&gt;","")</f>
        <v/>
      </c>
      <c r="AD110" s="43">
        <f>IF(ISBLANK(AE110),"","&lt;b&gt;")</f>
        <v/>
      </c>
      <c r="AE110" s="51" t="inlineStr">
        <is>
          <t>03/06</t>
        </is>
      </c>
      <c r="AF110" s="42">
        <f>IF(ISBLANK(AE110),"",": ")</f>
        <v/>
      </c>
      <c r="AG110" s="42" t="inlineStr">
        <is>
          <t>House Vote 48-22</t>
        </is>
      </c>
      <c r="AH110" s="42">
        <f>IF(ISBLANK(AE110),"","&lt;/b&gt;")</f>
        <v/>
      </c>
      <c r="AI110" s="42" t="inlineStr">
        <is>
          <t>03/02: Senate Vote 18-17&lt;br&gt;02/06: FY26 holdback (-4%)</t>
        </is>
      </c>
      <c r="AJ110" s="42">
        <f>IF(ISBLANK(AI110),"","&lt;br&gt;"&amp;AI110)</f>
        <v/>
      </c>
      <c r="AK110" s="4" t="inlineStr">
        <is>
          <t>&lt;br&gt;</t>
        </is>
      </c>
      <c r="AL110" s="42" t="inlineStr">
        <is>
          <t>&lt;b&gt;&lt;i&gt;</t>
        </is>
      </c>
      <c r="AM110" s="42" t="inlineStr">
        <is>
          <t>Governor's 3% + JFAC's 1%&lt;br&gt;Idaho State Police excluded &lt;br&gt;from holdback/reduction</t>
        </is>
      </c>
      <c r="AN110" s="42">
        <f>IF(ISBLANK(AM110),"","&lt;/i&gt;")</f>
        <v/>
      </c>
      <c r="AO110" s="35">
        <f>IF(ISBLANK(AQ110),"","&lt;/b&gt;&lt;br&gt;&lt;br&gt;")</f>
        <v/>
      </c>
      <c r="AP110" s="42">
        <f>IF(ISBLANK(AQ110),"","&lt;b&gt;")</f>
        <v/>
      </c>
      <c r="AQ110" s="47" t="inlineStr">
        <is>
          <t xml:space="preserve">Agency Reduction Plan:&lt;br&gt;Additional </t>
        </is>
      </c>
      <c r="AR110" s="42" t="inlineStr">
        <is>
          <t>1</t>
        </is>
      </c>
      <c r="AS110" s="4">
        <f>IF(ISBLANK(AR110),""," %")</f>
        <v/>
      </c>
      <c r="AT110" s="4">
        <f t="array" ref="AT110">_xlfn.IFS(NOT(ISBLANK(AU110))," (pgs. ",NOT(ISBLANK(AS110))," (pg. ", ISBLANK(AS110), "")</f>
        <v/>
      </c>
      <c r="AU110" s="52" t="n">
        <v>122</v>
      </c>
      <c r="AV110" s="4">
        <f>IF(ISBLANK(AW110),"",", ")</f>
        <v/>
      </c>
      <c r="AW110" s="53" t="n">
        <v>123</v>
      </c>
      <c r="AX110" s="4">
        <f>IF(ISBLANK(AY110),"",",&lt;br&gt;")</f>
        <v/>
      </c>
      <c r="AY110" s="42" t="n"/>
      <c r="AZ110" s="49">
        <f>IF(ISBLANK(AU110),"",")&lt;/b&gt;")</f>
        <v/>
      </c>
      <c r="BA110" s="4">
        <f>IF(ISBLANK(BC110),"","&lt;br&gt;")</f>
        <v/>
      </c>
      <c r="BB110" s="42">
        <f t="array" ref="BB110">IF(ISBLANK(BC110),"",_xlfn.LET(
_xlpm.words,_xlfn.TEXTSPLIT(TRIM(BC110),"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10" s="50" t="inlineStr">
        <is>
          <t>Administrative and support functions have already been reduced; any further cuts would directly affect operational capacity and public safety. Cancel existing purchase orders; Eliminate 6 Capitol Protective Services (CPS) positions; Furlough all commissioned personnel approximately 50 hours each. Elimination of ISP management of the Federal 1033 (LESO) equipment program; Removal of a forensic laboratory management position; Further reductions to Capitol Protective Services staffing; Reduce police presence during protests and legislative sessions.</t>
        </is>
      </c>
    </row>
    <row r="111">
      <c r="A111" s="20">
        <f>_xlfn.TEXTJOIN("", TRUE, F111:H111)</f>
        <v/>
      </c>
      <c r="B111" s="21">
        <f>_xlfn.TEXTJOIN("", TRUE, I111:S111)</f>
        <v/>
      </c>
      <c r="C111" s="21">
        <f>IF(ISBLANK(X111),"", _xlfn.TEXTJOIN("",TRUE,T111:Z111))</f>
        <v/>
      </c>
      <c r="D111" s="21">
        <f>IF(ISBLANK(AB111), "", _xlfn.TEXTJOIN("", TRUE, AA111:AC111))</f>
        <v/>
      </c>
      <c r="E111" s="22">
        <f>IF(AU111="NA", _xlfn.TEXTJOIN("", TRUE, AD111:AH111), _xlfn.TEXTJOIN("", TRUE, AD111:AJ111))</f>
        <v/>
      </c>
      <c r="F111" s="42">
        <f>IF(LEFT(G111,4)="FY26","&lt;b&gt;","&lt;i&gt;")</f>
        <v/>
      </c>
      <c r="G111" s="42" t="inlineStr">
        <is>
          <t>FY26 Reduction</t>
        </is>
      </c>
      <c r="H111" s="42">
        <f>IF(LEFT(G111,4)="FY26","&lt;/b&gt;","&lt;/i&gt;")</f>
        <v/>
      </c>
      <c r="I111" s="43" t="inlineStr">
        <is>
          <t>&lt;i&gt;</t>
        </is>
      </c>
      <c r="J111" s="44" t="inlineStr">
        <is>
          <t>Public Safety</t>
        </is>
      </c>
      <c r="K111" s="44" t="inlineStr">
        <is>
          <t>&lt;/i&gt;</t>
        </is>
      </c>
      <c r="L111" s="4">
        <f>IF(ISBLANK(N111),"","&lt;br&gt;")</f>
        <v/>
      </c>
      <c r="M111" s="42">
        <f>IF(ISBLANK(R111),"&lt;b&gt;","&lt;i&gt;")</f>
        <v/>
      </c>
      <c r="N111" s="42" t="inlineStr">
        <is>
          <t>Idaho State Police</t>
        </is>
      </c>
      <c r="O111" s="42">
        <f>IF(ISBLANK(R111),"&lt;/b&gt;","&lt;/i&gt;")</f>
        <v/>
      </c>
      <c r="P111" s="4">
        <f>IF(ISBLANK(R111),"","&lt;br&gt;")</f>
        <v/>
      </c>
      <c r="Q111" s="42">
        <f>IF(ISBLANK(R111),"","&lt;b&gt;")</f>
        <v/>
      </c>
      <c r="R111" s="42" t="inlineStr">
        <is>
          <t>Brand Inspection</t>
        </is>
      </c>
      <c r="S111" s="42">
        <f>IF(ISBLANK(R111),"","&lt;/i&gt;")</f>
        <v/>
      </c>
      <c r="T111" s="43">
        <f>IF(ISBLANK(X111),"",IF(OR(AB111="PASSED",ISBLANK(N111)),"&lt;b&gt;","&lt;i&gt;"))</f>
        <v/>
      </c>
      <c r="U111" s="3">
        <f>IF(ISBLANK(V111),"","&lt;a href='")</f>
        <v/>
      </c>
      <c r="V111" s="39" t="inlineStr">
        <is>
          <t>https://legislature.idaho.gov/sessioninfo/2026/legislation/S1331/</t>
        </is>
      </c>
      <c r="W111" s="17">
        <f>IF(ISBLANK(V111),"","'&gt;")</f>
        <v/>
      </c>
      <c r="X111" s="12" t="inlineStr">
        <is>
          <t>Senate Bill 1331</t>
        </is>
      </c>
      <c r="Y111" s="17">
        <f>IF(ISBLANK(X111),"","&lt;/a&gt;")</f>
        <v/>
      </c>
      <c r="Z111" s="42">
        <f>IF(ISBLANK(X111),"",IF(OR(AB111="PASSED",ISBLANK(N111)),"&lt;/b&gt;","&lt;/i&gt;"))</f>
        <v/>
      </c>
      <c r="AA111" s="43">
        <f>IF(AB111="PASSED","&lt;b&gt;","")</f>
        <v/>
      </c>
      <c r="AB111" s="45" t="inlineStr">
        <is>
          <t>PASSED</t>
        </is>
      </c>
      <c r="AC111" s="43">
        <f>IF(AB111="PASSED","&lt;/b&gt;","")</f>
        <v/>
      </c>
      <c r="AD111" s="43">
        <f>IF(ISBLANK(AE111),"","&lt;b&gt;")</f>
        <v/>
      </c>
      <c r="AE111" s="51" t="inlineStr">
        <is>
          <t>03/06</t>
        </is>
      </c>
      <c r="AF111" s="42">
        <f>IF(ISBLANK(AE111),"",": ")</f>
        <v/>
      </c>
      <c r="AG111" s="42" t="inlineStr">
        <is>
          <t>House Vote 48-22</t>
        </is>
      </c>
      <c r="AH111" s="42">
        <f>IF(ISBLANK(AE111),"","&lt;/b&gt;")</f>
        <v/>
      </c>
      <c r="AI111" s="42" t="inlineStr">
        <is>
          <t>03/02: Senate Vote 18-17&lt;br&gt;02/06: FY26 holdback (-4%)</t>
        </is>
      </c>
      <c r="AJ111" s="42">
        <f>IF(ISBLANK(AI111),"","&lt;br&gt;"&amp;AI111)</f>
        <v/>
      </c>
      <c r="AK111" s="4" t="inlineStr">
        <is>
          <t>&lt;br&gt;</t>
        </is>
      </c>
      <c r="AL111" s="42" t="inlineStr">
        <is>
          <t>&lt;b&gt;&lt;i&gt;</t>
        </is>
      </c>
      <c r="AM111" s="42" t="inlineStr">
        <is>
          <t>Governor's 3% + JFAC's 1%&lt;br&gt;Idaho State Police excluded &lt;br&gt;from holdback/reduction</t>
        </is>
      </c>
      <c r="AN111" s="42">
        <f>IF(ISBLANK(AM111),"","&lt;/i&gt;")</f>
        <v/>
      </c>
      <c r="AO111" s="35">
        <f>IF(ISBLANK(AQ111),"","&lt;/b&gt;&lt;br&gt;&lt;br&gt;")</f>
        <v/>
      </c>
      <c r="AP111" s="42">
        <f>IF(ISBLANK(AQ111),"","&lt;b&gt;")</f>
        <v/>
      </c>
      <c r="AQ111" s="47" t="inlineStr">
        <is>
          <t xml:space="preserve">Agency Reduction Plan:&lt;br&gt;Additional </t>
        </is>
      </c>
      <c r="AR111" s="42" t="inlineStr">
        <is>
          <t>1</t>
        </is>
      </c>
      <c r="AS111" s="4">
        <f>IF(ISBLANK(AR111),""," %")</f>
        <v/>
      </c>
      <c r="AT111" s="4">
        <f t="array" ref="AT111">_xlfn.IFS(NOT(ISBLANK(AU111))," (pgs. ",NOT(ISBLANK(AS111))," (pg. ", ISBLANK(AS111), "")</f>
        <v/>
      </c>
      <c r="AU111" s="52" t="inlineStr">
        <is>
          <t>NA</t>
        </is>
      </c>
      <c r="AV111" s="4">
        <f>IF(ISBLANK(AW111),"",", ")</f>
        <v/>
      </c>
      <c r="AW111" s="42" t="n"/>
      <c r="AX111" s="4">
        <f>IF(ISBLANK(AY111),"",",&lt;br&gt;")</f>
        <v/>
      </c>
      <c r="AY111" s="42" t="n"/>
      <c r="AZ111" s="49">
        <f>IF(ISBLANK(AU111),"",")&lt;/b&gt;")</f>
        <v/>
      </c>
      <c r="BA111" s="4">
        <f>IF(ISBLANK(BC111),"","&lt;br&gt;")</f>
        <v/>
      </c>
      <c r="BB111" s="42">
        <f t="array" ref="BB111">IF(ISBLANK(BC111),"",_xlfn.LET(
_xlpm.words,_xlfn.TEXTSPLIT(TRIM(BC111),"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11" s="50" t="n"/>
    </row>
    <row r="112">
      <c r="A112" s="20">
        <f>_xlfn.TEXTJOIN("", TRUE, F112:H112)</f>
        <v/>
      </c>
      <c r="B112" s="21">
        <f>_xlfn.TEXTJOIN("", TRUE, I112:S112)</f>
        <v/>
      </c>
      <c r="C112" s="21">
        <f>IF(ISBLANK(X112),"", _xlfn.TEXTJOIN("",TRUE,T112:Z112))</f>
        <v/>
      </c>
      <c r="D112" s="21">
        <f>IF(ISBLANK(AB112), "", _xlfn.TEXTJOIN("", TRUE, AA112:AC112))</f>
        <v/>
      </c>
      <c r="E112" s="22">
        <f>IF(AU112="NA", _xlfn.TEXTJOIN("", TRUE, AD112:AH112), _xlfn.TEXTJOIN("", TRUE, AD112:AJ112))</f>
        <v/>
      </c>
      <c r="F112" s="42">
        <f>IF(LEFT(G112,4)="FY26","&lt;b&gt;","&lt;i&gt;")</f>
        <v/>
      </c>
      <c r="G112" s="42" t="inlineStr">
        <is>
          <t>FY26 Reduction</t>
        </is>
      </c>
      <c r="H112" s="42">
        <f>IF(LEFT(G112,4)="FY26","&lt;/b&gt;","&lt;/i&gt;")</f>
        <v/>
      </c>
      <c r="I112" s="43" t="inlineStr">
        <is>
          <t>&lt;i&gt;</t>
        </is>
      </c>
      <c r="J112" s="44" t="inlineStr">
        <is>
          <t>Public Safety</t>
        </is>
      </c>
      <c r="K112" s="44" t="inlineStr">
        <is>
          <t>&lt;/i&gt;</t>
        </is>
      </c>
      <c r="L112" s="4">
        <f>IF(ISBLANK(N112),"","&lt;br&gt;")</f>
        <v/>
      </c>
      <c r="M112" s="42">
        <f>IF(ISBLANK(R112),"&lt;b&gt;","&lt;i&gt;")</f>
        <v/>
      </c>
      <c r="N112" s="42" t="inlineStr">
        <is>
          <t>Idaho State Police</t>
        </is>
      </c>
      <c r="O112" s="42">
        <f>IF(ISBLANK(R112),"&lt;/b&gt;","&lt;/i&gt;")</f>
        <v/>
      </c>
      <c r="P112" s="4">
        <f>IF(ISBLANK(R112),"","&lt;br&gt;")</f>
        <v/>
      </c>
      <c r="Q112" s="42">
        <f>IF(ISBLANK(R112),"","&lt;b&gt;")</f>
        <v/>
      </c>
      <c r="R112" s="42" t="inlineStr">
        <is>
          <t>POST Academy</t>
        </is>
      </c>
      <c r="S112" s="42">
        <f>IF(ISBLANK(R112),"","&lt;/i&gt;")</f>
        <v/>
      </c>
      <c r="T112" s="43">
        <f>IF(ISBLANK(X112),"",IF(OR(AB112="PASSED",ISBLANK(N112)),"&lt;b&gt;","&lt;i&gt;"))</f>
        <v/>
      </c>
      <c r="U112" s="3">
        <f>IF(ISBLANK(V112),"","&lt;a href='")</f>
        <v/>
      </c>
      <c r="V112" s="39" t="inlineStr">
        <is>
          <t>https://legislature.idaho.gov/sessioninfo/2026/legislation/S1331/</t>
        </is>
      </c>
      <c r="W112" s="17">
        <f>IF(ISBLANK(V112),"","'&gt;")</f>
        <v/>
      </c>
      <c r="X112" s="12" t="inlineStr">
        <is>
          <t>Senate Bill 1331</t>
        </is>
      </c>
      <c r="Y112" s="17">
        <f>IF(ISBLANK(X112),"","&lt;/a&gt;")</f>
        <v/>
      </c>
      <c r="Z112" s="42">
        <f>IF(ISBLANK(X112),"",IF(OR(AB112="PASSED",ISBLANK(N112)),"&lt;/b&gt;","&lt;/i&gt;"))</f>
        <v/>
      </c>
      <c r="AA112" s="43">
        <f>IF(AB112="PASSED","&lt;b&gt;","")</f>
        <v/>
      </c>
      <c r="AB112" s="45" t="inlineStr">
        <is>
          <t>PASSED</t>
        </is>
      </c>
      <c r="AC112" s="43">
        <f>IF(AB112="PASSED","&lt;/b&gt;","")</f>
        <v/>
      </c>
      <c r="AD112" s="43">
        <f>IF(ISBLANK(AE112),"","&lt;b&gt;")</f>
        <v/>
      </c>
      <c r="AE112" s="51" t="inlineStr">
        <is>
          <t>03/06</t>
        </is>
      </c>
      <c r="AF112" s="42">
        <f>IF(ISBLANK(AE112),"",": ")</f>
        <v/>
      </c>
      <c r="AG112" s="42" t="inlineStr">
        <is>
          <t>House Vote 48-22</t>
        </is>
      </c>
      <c r="AH112" s="42">
        <f>IF(ISBLANK(AE112),"","&lt;/b&gt;")</f>
        <v/>
      </c>
      <c r="AI112" s="42" t="inlineStr">
        <is>
          <t>03/02: Senate Vote 18-17&lt;br&gt;02/06: FY26 holdback (-4%)</t>
        </is>
      </c>
      <c r="AJ112" s="42">
        <f>IF(ISBLANK(AI112),"","&lt;br&gt;"&amp;AI112)</f>
        <v/>
      </c>
      <c r="AK112" s="4" t="inlineStr">
        <is>
          <t>&lt;br&gt;</t>
        </is>
      </c>
      <c r="AL112" s="42" t="inlineStr">
        <is>
          <t>&lt;b&gt;&lt;i&gt;</t>
        </is>
      </c>
      <c r="AM112" s="42" t="inlineStr">
        <is>
          <t>Governor's 3% + JFAC's 1%&lt;br&gt;Idaho State Police excluded &lt;br&gt;from holdback/reduction</t>
        </is>
      </c>
      <c r="AN112" s="42">
        <f>IF(ISBLANK(AM112),"","&lt;/i&gt;")</f>
        <v/>
      </c>
      <c r="AO112" s="35">
        <f>IF(ISBLANK(AQ112),"","&lt;/b&gt;&lt;br&gt;&lt;br&gt;")</f>
        <v/>
      </c>
      <c r="AP112" s="42">
        <f>IF(ISBLANK(AQ112),"","&lt;b&gt;")</f>
        <v/>
      </c>
      <c r="AQ112" s="47" t="inlineStr">
        <is>
          <t xml:space="preserve">Agency Reduction Plan:&lt;br&gt;Additional </t>
        </is>
      </c>
      <c r="AR112" s="42" t="inlineStr">
        <is>
          <t>1</t>
        </is>
      </c>
      <c r="AS112" s="4">
        <f>IF(ISBLANK(AR112),""," %")</f>
        <v/>
      </c>
      <c r="AT112" s="4">
        <f t="array" ref="AT112">_xlfn.IFS(NOT(ISBLANK(AU112))," (pgs. ",NOT(ISBLANK(AS112))," (pg. ", ISBLANK(AS112), "")</f>
        <v/>
      </c>
      <c r="AU112" s="52" t="inlineStr">
        <is>
          <t>NA</t>
        </is>
      </c>
      <c r="AV112" s="4">
        <f>IF(ISBLANK(AW112),"",", ")</f>
        <v/>
      </c>
      <c r="AW112" s="42" t="n"/>
      <c r="AX112" s="4">
        <f>IF(ISBLANK(AY112),"",",&lt;br&gt;")</f>
        <v/>
      </c>
      <c r="AY112" s="42" t="n"/>
      <c r="AZ112" s="49">
        <f>IF(ISBLANK(AU112),"",")&lt;/b&gt;")</f>
        <v/>
      </c>
      <c r="BA112" s="4">
        <f>IF(ISBLANK(BC112),"","&lt;br&gt;")</f>
        <v/>
      </c>
      <c r="BB112" s="42">
        <f t="array" ref="BB112">IF(ISBLANK(BC112),"",_xlfn.LET(
_xlpm.words,_xlfn.TEXTSPLIT(TRIM(BC112),"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12" s="50" t="n"/>
    </row>
    <row r="113">
      <c r="A113" s="20">
        <f>_xlfn.TEXTJOIN("", TRUE, F113:H113)</f>
        <v/>
      </c>
      <c r="B113" s="21">
        <f>_xlfn.TEXTJOIN("", TRUE, I113:S113)</f>
        <v/>
      </c>
      <c r="C113" s="21">
        <f>IF(ISBLANK(X113),"", _xlfn.TEXTJOIN("",TRUE,T113:Z113))</f>
        <v/>
      </c>
      <c r="D113" s="21">
        <f>IF(ISBLANK(AB113), "", _xlfn.TEXTJOIN("", TRUE, AA113:AC113))</f>
        <v/>
      </c>
      <c r="E113" s="22">
        <f>IF(AU113="NA", _xlfn.TEXTJOIN("", TRUE, AD113:AH113), _xlfn.TEXTJOIN("", TRUE, AD113:AJ113))</f>
        <v/>
      </c>
      <c r="F113" s="42">
        <f>IF(LEFT(G113,4)="FY26","&lt;b&gt;","&lt;i&gt;")</f>
        <v/>
      </c>
      <c r="G113" s="42" t="inlineStr">
        <is>
          <t>FY26 Reduction</t>
        </is>
      </c>
      <c r="H113" s="42">
        <f>IF(LEFT(G113,4)="FY26","&lt;/b&gt;","&lt;/i&gt;")</f>
        <v/>
      </c>
      <c r="I113" s="43" t="inlineStr">
        <is>
          <t>&lt;i&gt;</t>
        </is>
      </c>
      <c r="J113" s="44" t="inlineStr">
        <is>
          <t>Public Safety</t>
        </is>
      </c>
      <c r="K113" s="44" t="inlineStr">
        <is>
          <t>&lt;/i&gt;</t>
        </is>
      </c>
      <c r="L113" s="4">
        <f>IF(ISBLANK(N113),"","&lt;br&gt;")</f>
        <v/>
      </c>
      <c r="M113" s="42">
        <f>IF(ISBLANK(R113),"&lt;b&gt;","&lt;i&gt;")</f>
        <v/>
      </c>
      <c r="N113" s="42" t="inlineStr">
        <is>
          <t>Idaho State Police</t>
        </is>
      </c>
      <c r="O113" s="42">
        <f>IF(ISBLANK(R113),"&lt;/b&gt;","&lt;/i&gt;")</f>
        <v/>
      </c>
      <c r="P113" s="4">
        <f>IF(ISBLANK(R113),"","&lt;br&gt;")</f>
        <v/>
      </c>
      <c r="Q113" s="42">
        <f>IF(ISBLANK(R113),"","&lt;b&gt;")</f>
        <v/>
      </c>
      <c r="R113" s="42" t="inlineStr">
        <is>
          <t>Racing Comm.</t>
        </is>
      </c>
      <c r="S113" s="42">
        <f>IF(ISBLANK(R113),"","&lt;/i&gt;")</f>
        <v/>
      </c>
      <c r="T113" s="43">
        <f>IF(ISBLANK(X113),"",IF(OR(AB113="PASSED",ISBLANK(N113)),"&lt;b&gt;","&lt;i&gt;"))</f>
        <v/>
      </c>
      <c r="U113" s="3">
        <f>IF(ISBLANK(V113),"","&lt;a href='")</f>
        <v/>
      </c>
      <c r="V113" s="39" t="inlineStr">
        <is>
          <t>https://legislature.idaho.gov/sessioninfo/2026/legislation/S1331/</t>
        </is>
      </c>
      <c r="W113" s="17">
        <f>IF(ISBLANK(V113),"","'&gt;")</f>
        <v/>
      </c>
      <c r="X113" s="12" t="inlineStr">
        <is>
          <t>Senate Bill 1331</t>
        </is>
      </c>
      <c r="Y113" s="17">
        <f>IF(ISBLANK(X113),"","&lt;/a&gt;")</f>
        <v/>
      </c>
      <c r="Z113" s="42">
        <f>IF(ISBLANK(X113),"",IF(OR(AB113="PASSED",ISBLANK(N113)),"&lt;/b&gt;","&lt;/i&gt;"))</f>
        <v/>
      </c>
      <c r="AA113" s="43">
        <f>IF(AB113="PASSED","&lt;b&gt;","")</f>
        <v/>
      </c>
      <c r="AB113" s="45" t="inlineStr">
        <is>
          <t>PASSED</t>
        </is>
      </c>
      <c r="AC113" s="43">
        <f>IF(AB113="PASSED","&lt;/b&gt;","")</f>
        <v/>
      </c>
      <c r="AD113" s="43">
        <f>IF(ISBLANK(AE113),"","&lt;b&gt;")</f>
        <v/>
      </c>
      <c r="AE113" s="51" t="inlineStr">
        <is>
          <t>03/06</t>
        </is>
      </c>
      <c r="AF113" s="42">
        <f>IF(ISBLANK(AE113),"",": ")</f>
        <v/>
      </c>
      <c r="AG113" s="42" t="inlineStr">
        <is>
          <t>House Vote 48-22</t>
        </is>
      </c>
      <c r="AH113" s="42">
        <f>IF(ISBLANK(AE113),"","&lt;/b&gt;")</f>
        <v/>
      </c>
      <c r="AI113" s="42" t="inlineStr">
        <is>
          <t>03/02: Senate Vote 18-17&lt;br&gt;02/06: FY26 holdback (-4%)</t>
        </is>
      </c>
      <c r="AJ113" s="42">
        <f>IF(ISBLANK(AI113),"","&lt;br&gt;"&amp;AI113)</f>
        <v/>
      </c>
      <c r="AK113" s="4" t="inlineStr">
        <is>
          <t>&lt;br&gt;</t>
        </is>
      </c>
      <c r="AL113" s="42" t="inlineStr">
        <is>
          <t>&lt;b&gt;&lt;i&gt;</t>
        </is>
      </c>
      <c r="AM113" s="42" t="inlineStr">
        <is>
          <t>Governor's 3% + JFAC's 1%&lt;br&gt;Idaho State Police excluded &lt;br&gt;from holdback/reduction</t>
        </is>
      </c>
      <c r="AN113" s="42">
        <f>IF(ISBLANK(AM113),"","&lt;/i&gt;")</f>
        <v/>
      </c>
      <c r="AO113" s="35">
        <f>IF(ISBLANK(AQ113),"","&lt;/b&gt;&lt;br&gt;&lt;br&gt;")</f>
        <v/>
      </c>
      <c r="AP113" s="42">
        <f>IF(ISBLANK(AQ113),"","&lt;b&gt;")</f>
        <v/>
      </c>
      <c r="AQ113" s="47" t="inlineStr">
        <is>
          <t xml:space="preserve">Agency Reduction Plan:&lt;br&gt;Additional </t>
        </is>
      </c>
      <c r="AR113" s="42" t="inlineStr">
        <is>
          <t>1</t>
        </is>
      </c>
      <c r="AS113" s="4">
        <f>IF(ISBLANK(AR113),""," %")</f>
        <v/>
      </c>
      <c r="AT113" s="4">
        <f t="array" ref="AT113">_xlfn.IFS(NOT(ISBLANK(AU113))," (pgs. ",NOT(ISBLANK(AS113))," (pg. ", ISBLANK(AS113), "")</f>
        <v/>
      </c>
      <c r="AU113" s="52" t="inlineStr">
        <is>
          <t>NA</t>
        </is>
      </c>
      <c r="AV113" s="4">
        <f>IF(ISBLANK(AW113),"",", ")</f>
        <v/>
      </c>
      <c r="AW113" s="42" t="n"/>
      <c r="AX113" s="4">
        <f>IF(ISBLANK(AY113),"",",&lt;br&gt;")</f>
        <v/>
      </c>
      <c r="AY113" s="42" t="n"/>
      <c r="AZ113" s="49">
        <f>IF(ISBLANK(AU113),"",")&lt;/b&gt;")</f>
        <v/>
      </c>
      <c r="BA113" s="4">
        <f>IF(ISBLANK(BC113),"","&lt;br&gt;")</f>
        <v/>
      </c>
      <c r="BB113" s="42">
        <f t="array" ref="BB113">IF(ISBLANK(BC113),"",_xlfn.LET(
_xlpm.words,_xlfn.TEXTSPLIT(TRIM(BC113),"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13" s="50" t="n"/>
    </row>
    <row r="114">
      <c r="A114" s="20">
        <f>_xlfn.TEXTJOIN("", TRUE, F114:H114)</f>
        <v/>
      </c>
      <c r="B114" s="21">
        <f>_xlfn.TEXTJOIN("", TRUE, I114:S114)</f>
        <v/>
      </c>
      <c r="C114" s="21">
        <f>IF(ISBLANK(X114),"", _xlfn.TEXTJOIN("",TRUE,T114:Z114))</f>
        <v/>
      </c>
      <c r="D114" s="21">
        <f>IF(ISBLANK(AB114), "", _xlfn.TEXTJOIN("", TRUE, AA114:AC114))</f>
        <v/>
      </c>
      <c r="E114" s="22">
        <f>IF(AU114="NA", _xlfn.TEXTJOIN("", TRUE, AD114:AH114), _xlfn.TEXTJOIN("", TRUE, AD114:AJ114))</f>
        <v/>
      </c>
      <c r="F114" s="42">
        <f>IF(LEFT(G114,4)="FY26","&lt;b&gt;","&lt;i&gt;")</f>
        <v/>
      </c>
      <c r="G114" s="42" t="inlineStr">
        <is>
          <t>FY26 Reduction</t>
        </is>
      </c>
      <c r="H114" s="42">
        <f>IF(LEFT(G114,4)="FY26","&lt;/b&gt;","&lt;/i&gt;")</f>
        <v/>
      </c>
      <c r="I114" s="43" t="inlineStr">
        <is>
          <t>&lt;i&gt;</t>
        </is>
      </c>
      <c r="J114" s="44" t="inlineStr">
        <is>
          <t>Public Schools</t>
        </is>
      </c>
      <c r="K114" s="44" t="inlineStr">
        <is>
          <t>&lt;/i&gt;</t>
        </is>
      </c>
      <c r="L114" s="4">
        <f>IF(ISBLANK(N114),"","&lt;br&gt;")</f>
        <v/>
      </c>
      <c r="M114" s="42">
        <f>IF(ISBLANK(R114),"&lt;b&gt;","&lt;i&gt;")</f>
        <v/>
      </c>
      <c r="N114" s="42" t="inlineStr">
        <is>
          <t>Administrators</t>
        </is>
      </c>
      <c r="O114" s="42">
        <f>IF(ISBLANK(R114),"&lt;/b&gt;","&lt;/i&gt;")</f>
        <v/>
      </c>
      <c r="P114" s="4">
        <f>IF(ISBLANK(R114),"","&lt;br&gt;")</f>
        <v/>
      </c>
      <c r="Q114" s="42">
        <f>IF(ISBLANK(R114),"","&lt;b&gt;")</f>
        <v/>
      </c>
      <c r="R114" s="42" t="n"/>
      <c r="S114" s="42">
        <f>IF(ISBLANK(R114),"","&lt;/i&gt;")</f>
        <v/>
      </c>
      <c r="T114" s="43">
        <f>IF(ISBLANK(X114),"",IF(OR(AB114="PASSED",ISBLANK(N114)),"&lt;b&gt;","&lt;i&gt;"))</f>
        <v/>
      </c>
      <c r="U114" s="3">
        <f>IF(ISBLANK(V114),"","&lt;a href='")</f>
        <v/>
      </c>
      <c r="V114" s="39" t="inlineStr">
        <is>
          <t>https://legislature.idaho.gov/sessioninfo/2026/legislation/S1331/</t>
        </is>
      </c>
      <c r="W114" s="17">
        <f>IF(ISBLANK(V114),"","'&gt;")</f>
        <v/>
      </c>
      <c r="X114" s="12" t="inlineStr">
        <is>
          <t>Senate Bill 1331</t>
        </is>
      </c>
      <c r="Y114" s="17">
        <f>IF(ISBLANK(X114),"","&lt;/a&gt;")</f>
        <v/>
      </c>
      <c r="Z114" s="42">
        <f>IF(ISBLANK(X114),"",IF(OR(AB114="PASSED",ISBLANK(N114)),"&lt;/b&gt;","&lt;/i&gt;"))</f>
        <v/>
      </c>
      <c r="AA114" s="43">
        <f>IF(AB114="PASSED","&lt;b&gt;","")</f>
        <v/>
      </c>
      <c r="AB114" s="45" t="inlineStr">
        <is>
          <t>PASSED</t>
        </is>
      </c>
      <c r="AC114" s="43">
        <f>IF(AB114="PASSED","&lt;/b&gt;","")</f>
        <v/>
      </c>
      <c r="AD114" s="43">
        <f>IF(ISBLANK(AE114),"","&lt;b&gt;")</f>
        <v/>
      </c>
      <c r="AE114" s="51" t="inlineStr">
        <is>
          <t>03/06</t>
        </is>
      </c>
      <c r="AF114" s="42">
        <f>IF(ISBLANK(AE114),"",": ")</f>
        <v/>
      </c>
      <c r="AG114" s="42" t="inlineStr">
        <is>
          <t>House Vote 48-22</t>
        </is>
      </c>
      <c r="AH114" s="42">
        <f>IF(ISBLANK(AE114),"","&lt;/b&gt;")</f>
        <v/>
      </c>
      <c r="AI114" s="42" t="inlineStr">
        <is>
          <t>03/02: Senate Vote 18-17&lt;br&gt;02/06: FY26 holdback (-4%)</t>
        </is>
      </c>
      <c r="AJ114" s="42">
        <f>IF(ISBLANK(AI114),"","&lt;br&gt;"&amp;AI114)</f>
        <v/>
      </c>
      <c r="AK114" s="4" t="inlineStr">
        <is>
          <t>&lt;br&gt;</t>
        </is>
      </c>
      <c r="AL114" s="42" t="inlineStr">
        <is>
          <t>&lt;b&gt;&lt;i&gt;</t>
        </is>
      </c>
      <c r="AM114" s="42" t="inlineStr">
        <is>
          <t>public schools excluded &lt;br&gt;from holdback/reduction</t>
        </is>
      </c>
      <c r="AN114" s="42">
        <f>IF(ISBLANK(AM114),"","&lt;/i&gt;")</f>
        <v/>
      </c>
      <c r="AO114" s="35">
        <f>IF(ISBLANK(AQ114),"","&lt;/b&gt;&lt;br&gt;&lt;br&gt;")</f>
        <v/>
      </c>
      <c r="AP114" s="42">
        <f>IF(ISBLANK(AQ114),"","&lt;b&gt;")</f>
        <v/>
      </c>
      <c r="AQ114" s="47" t="inlineStr">
        <is>
          <t xml:space="preserve">Agency Reduction Plan:&lt;br&gt;Additional </t>
        </is>
      </c>
      <c r="AR114" s="42" t="inlineStr">
        <is>
          <t>1</t>
        </is>
      </c>
      <c r="AS114" s="4">
        <f>IF(ISBLANK(AR114),""," %")</f>
        <v/>
      </c>
      <c r="AT114" s="4">
        <f t="array" ref="AT114">_xlfn.IFS(NOT(ISBLANK(AU114))," (pgs. ",NOT(ISBLANK(AS114))," (pg. ", ISBLANK(AS114), "")</f>
        <v/>
      </c>
      <c r="AU114" s="52" t="n">
        <v>1</v>
      </c>
      <c r="AV114" s="4">
        <f>IF(ISBLANK(AW114),"",", ")</f>
        <v/>
      </c>
      <c r="AW114" s="42" t="n"/>
      <c r="AX114" s="4">
        <f>IF(ISBLANK(AY114),"",",&lt;br&gt;")</f>
        <v/>
      </c>
      <c r="AY114" s="42" t="n"/>
      <c r="AZ114" s="49">
        <f>IF(ISBLANK(AU114),"",")&lt;/b&gt;")</f>
        <v/>
      </c>
      <c r="BA114" s="4">
        <f>IF(ISBLANK(BC114),"","&lt;br&gt;")</f>
        <v/>
      </c>
      <c r="BB114" s="42">
        <f t="array" ref="BB114">IF(ISBLANK(BC114),"",_xlfn.LET(
_xlpm.words,_xlfn.TEXTSPLIT(TRIM(BC114),"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14" s="50" t="inlineStr">
        <is>
          <t>I will not be recommending further cuts to the public schools budget for FY 2026 or FY 2027. The public schools budget is more than numbers on a spreadsheet. It represents every one of our students, classrooms, teachers and communities.</t>
        </is>
      </c>
    </row>
    <row r="115">
      <c r="A115" s="20">
        <f>_xlfn.TEXTJOIN("", TRUE, F115:H115)</f>
        <v/>
      </c>
      <c r="B115" s="21">
        <f>_xlfn.TEXTJOIN("", TRUE, I115:S115)</f>
        <v/>
      </c>
      <c r="C115" s="21">
        <f>IF(ISBLANK(X115),"", _xlfn.TEXTJOIN("",TRUE,T115:Z115))</f>
        <v/>
      </c>
      <c r="D115" s="21">
        <f>IF(ISBLANK(AB115), "", _xlfn.TEXTJOIN("", TRUE, AA115:AC115))</f>
        <v/>
      </c>
      <c r="E115" s="22">
        <f>IF(AU115="NA", _xlfn.TEXTJOIN("", TRUE, AD115:AH115), _xlfn.TEXTJOIN("", TRUE, AD115:AJ115))</f>
        <v/>
      </c>
      <c r="F115" s="42">
        <f>IF(LEFT(G115,4)="FY26","&lt;b&gt;","&lt;i&gt;")</f>
        <v/>
      </c>
      <c r="G115" s="42" t="inlineStr">
        <is>
          <t>FY26 Reduction</t>
        </is>
      </c>
      <c r="H115" s="42">
        <f>IF(LEFT(G115,4)="FY26","&lt;/b&gt;","&lt;/i&gt;")</f>
        <v/>
      </c>
      <c r="I115" s="43" t="inlineStr">
        <is>
          <t>&lt;i&gt;</t>
        </is>
      </c>
      <c r="J115" s="44" t="inlineStr">
        <is>
          <t>Public Schools</t>
        </is>
      </c>
      <c r="K115" s="44" t="inlineStr">
        <is>
          <t>&lt;/i&gt;</t>
        </is>
      </c>
      <c r="L115" s="4">
        <f>IF(ISBLANK(N115),"","&lt;br&gt;")</f>
        <v/>
      </c>
      <c r="M115" s="42">
        <f>IF(ISBLANK(R115),"&lt;b&gt;","&lt;i&gt;")</f>
        <v/>
      </c>
      <c r="N115" s="42" t="inlineStr">
        <is>
          <t>Central Services</t>
        </is>
      </c>
      <c r="O115" s="42">
        <f>IF(ISBLANK(R115),"&lt;/b&gt;","&lt;/i&gt;")</f>
        <v/>
      </c>
      <c r="P115" s="4">
        <f>IF(ISBLANK(R115),"","&lt;br&gt;")</f>
        <v/>
      </c>
      <c r="Q115" s="42">
        <f>IF(ISBLANK(R115),"","&lt;b&gt;")</f>
        <v/>
      </c>
      <c r="R115" s="42" t="n"/>
      <c r="S115" s="42">
        <f>IF(ISBLANK(R115),"","&lt;/i&gt;")</f>
        <v/>
      </c>
      <c r="T115" s="43">
        <f>IF(ISBLANK(X115),"",IF(OR(AB115="PASSED",ISBLANK(N115)),"&lt;b&gt;","&lt;i&gt;"))</f>
        <v/>
      </c>
      <c r="U115" s="3">
        <f>IF(ISBLANK(V115),"","&lt;a href='")</f>
        <v/>
      </c>
      <c r="V115" s="39" t="inlineStr">
        <is>
          <t>https://legislature.idaho.gov/sessioninfo/2026/legislation/S1331/</t>
        </is>
      </c>
      <c r="W115" s="17">
        <f>IF(ISBLANK(V115),"","'&gt;")</f>
        <v/>
      </c>
      <c r="X115" s="12" t="inlineStr">
        <is>
          <t>Senate Bill 1331</t>
        </is>
      </c>
      <c r="Y115" s="17">
        <f>IF(ISBLANK(X115),"","&lt;/a&gt;")</f>
        <v/>
      </c>
      <c r="Z115" s="42">
        <f>IF(ISBLANK(X115),"",IF(OR(AB115="PASSED",ISBLANK(N115)),"&lt;/b&gt;","&lt;/i&gt;"))</f>
        <v/>
      </c>
      <c r="AA115" s="43">
        <f>IF(AB115="PASSED","&lt;b&gt;","")</f>
        <v/>
      </c>
      <c r="AB115" s="45" t="inlineStr">
        <is>
          <t>PASSED</t>
        </is>
      </c>
      <c r="AC115" s="43">
        <f>IF(AB115="PASSED","&lt;/b&gt;","")</f>
        <v/>
      </c>
      <c r="AD115" s="43">
        <f>IF(ISBLANK(AE115),"","&lt;b&gt;")</f>
        <v/>
      </c>
      <c r="AE115" s="51" t="inlineStr">
        <is>
          <t>03/06</t>
        </is>
      </c>
      <c r="AF115" s="42">
        <f>IF(ISBLANK(AE115),"",": ")</f>
        <v/>
      </c>
      <c r="AG115" s="42" t="inlineStr">
        <is>
          <t>House Vote 48-22</t>
        </is>
      </c>
      <c r="AH115" s="42">
        <f>IF(ISBLANK(AE115),"","&lt;/b&gt;")</f>
        <v/>
      </c>
      <c r="AI115" s="42" t="inlineStr">
        <is>
          <t>03/02: Senate Vote 18-17&lt;br&gt;02/06: FY26 holdback (-4%)</t>
        </is>
      </c>
      <c r="AJ115" s="42">
        <f>IF(ISBLANK(AI115),"","&lt;br&gt;"&amp;AI115)</f>
        <v/>
      </c>
      <c r="AK115" s="4" t="inlineStr">
        <is>
          <t>&lt;br&gt;</t>
        </is>
      </c>
      <c r="AL115" s="42" t="inlineStr">
        <is>
          <t>&lt;b&gt;&lt;i&gt;</t>
        </is>
      </c>
      <c r="AM115" s="42" t="inlineStr">
        <is>
          <t>public schools excluded &lt;br&gt;from holdback/reduction</t>
        </is>
      </c>
      <c r="AN115" s="42">
        <f>IF(ISBLANK(AM115),"","&lt;/i&gt;")</f>
        <v/>
      </c>
      <c r="AO115" s="35">
        <f>IF(ISBLANK(AQ115),"","&lt;/b&gt;&lt;br&gt;&lt;br&gt;")</f>
        <v/>
      </c>
      <c r="AP115" s="42">
        <f>IF(ISBLANK(AQ115),"","&lt;b&gt;")</f>
        <v/>
      </c>
      <c r="AQ115" s="47" t="inlineStr">
        <is>
          <t xml:space="preserve">Agency Reduction Plan:&lt;br&gt;Additional </t>
        </is>
      </c>
      <c r="AR115" s="42" t="inlineStr">
        <is>
          <t>1</t>
        </is>
      </c>
      <c r="AS115" s="4">
        <f>IF(ISBLANK(AR115),""," %")</f>
        <v/>
      </c>
      <c r="AT115" s="4">
        <f t="array" ref="AT115">_xlfn.IFS(NOT(ISBLANK(AU115))," (pgs. ",NOT(ISBLANK(AS115))," (pg. ", ISBLANK(AS115), "")</f>
        <v/>
      </c>
      <c r="AU115" s="52" t="n">
        <v>1</v>
      </c>
      <c r="AV115" s="4">
        <f>IF(ISBLANK(AW115),"",", ")</f>
        <v/>
      </c>
      <c r="AW115" s="42" t="n"/>
      <c r="AX115" s="4">
        <f>IF(ISBLANK(AY115),"",",&lt;br&gt;")</f>
        <v/>
      </c>
      <c r="AY115" s="42" t="n"/>
      <c r="AZ115" s="49">
        <f>IF(ISBLANK(AU115),"",")&lt;/b&gt;")</f>
        <v/>
      </c>
      <c r="BA115" s="4">
        <f>IF(ISBLANK(BC115),"","&lt;br&gt;")</f>
        <v/>
      </c>
      <c r="BB115" s="42">
        <f t="array" ref="BB115">IF(ISBLANK(BC115),"",_xlfn.LET(
_xlpm.words,_xlfn.TEXTSPLIT(TRIM(BC115),"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15" s="50" t="inlineStr">
        <is>
          <t>I will not be recommending further cuts to the public schools budget for FY 2026 or FY 2027. The public schools budget is more than numbers on a spreadsheet. It represents every one of our students, classrooms, teachers and communities.</t>
        </is>
      </c>
    </row>
    <row r="116">
      <c r="A116" s="20">
        <f>_xlfn.TEXTJOIN("", TRUE, F116:H116)</f>
        <v/>
      </c>
      <c r="B116" s="21">
        <f>_xlfn.TEXTJOIN("", TRUE, I116:S116)</f>
        <v/>
      </c>
      <c r="C116" s="21">
        <f>IF(ISBLANK(X116),"", _xlfn.TEXTJOIN("",TRUE,T116:Z116))</f>
        <v/>
      </c>
      <c r="D116" s="21">
        <f>IF(ISBLANK(AB116), "", _xlfn.TEXTJOIN("", TRUE, AA116:AC116))</f>
        <v/>
      </c>
      <c r="E116" s="22">
        <f>IF(AU116="NA", _xlfn.TEXTJOIN("", TRUE, AD116:AH116), _xlfn.TEXTJOIN("", TRUE, AD116:AJ116))</f>
        <v/>
      </c>
      <c r="F116" s="42">
        <f>IF(LEFT(G116,4)="FY26","&lt;b&gt;","&lt;i&gt;")</f>
        <v/>
      </c>
      <c r="G116" s="42" t="inlineStr">
        <is>
          <t>FY26 Reduction</t>
        </is>
      </c>
      <c r="H116" s="42">
        <f>IF(LEFT(G116,4)="FY26","&lt;/b&gt;","&lt;/i&gt;")</f>
        <v/>
      </c>
      <c r="I116" s="43" t="inlineStr">
        <is>
          <t>&lt;i&gt;</t>
        </is>
      </c>
      <c r="J116" s="44" t="inlineStr">
        <is>
          <t>Public Schools</t>
        </is>
      </c>
      <c r="K116" s="44" t="inlineStr">
        <is>
          <t>&lt;/i&gt;</t>
        </is>
      </c>
      <c r="L116" s="4">
        <f>IF(ISBLANK(N116),"","&lt;br&gt;")</f>
        <v/>
      </c>
      <c r="M116" s="42">
        <f>IF(ISBLANK(R116),"&lt;b&gt;","&lt;i&gt;")</f>
        <v/>
      </c>
      <c r="N116" s="42" t="inlineStr">
        <is>
          <t>Children's Programs</t>
        </is>
      </c>
      <c r="O116" s="42">
        <f>IF(ISBLANK(R116),"&lt;/b&gt;","&lt;/i&gt;")</f>
        <v/>
      </c>
      <c r="P116" s="4">
        <f>IF(ISBLANK(R116),"","&lt;br&gt;")</f>
        <v/>
      </c>
      <c r="Q116" s="42">
        <f>IF(ISBLANK(R116),"","&lt;b&gt;")</f>
        <v/>
      </c>
      <c r="R116" s="42" t="n"/>
      <c r="S116" s="42">
        <f>IF(ISBLANK(R116),"","&lt;/i&gt;")</f>
        <v/>
      </c>
      <c r="T116" s="43">
        <f>IF(ISBLANK(X116),"",IF(OR(AB116="PASSED",ISBLANK(N116)),"&lt;b&gt;","&lt;i&gt;"))</f>
        <v/>
      </c>
      <c r="U116" s="3">
        <f>IF(ISBLANK(V116),"","&lt;a href='")</f>
        <v/>
      </c>
      <c r="V116" s="39" t="inlineStr">
        <is>
          <t>https://legislature.idaho.gov/sessioninfo/2026/legislation/S1331/</t>
        </is>
      </c>
      <c r="W116" s="17">
        <f>IF(ISBLANK(V116),"","'&gt;")</f>
        <v/>
      </c>
      <c r="X116" s="12" t="inlineStr">
        <is>
          <t>Senate Bill 1331</t>
        </is>
      </c>
      <c r="Y116" s="17">
        <f>IF(ISBLANK(X116),"","&lt;/a&gt;")</f>
        <v/>
      </c>
      <c r="Z116" s="42">
        <f>IF(ISBLANK(X116),"",IF(OR(AB116="PASSED",ISBLANK(N116)),"&lt;/b&gt;","&lt;/i&gt;"))</f>
        <v/>
      </c>
      <c r="AA116" s="43">
        <f>IF(AB116="PASSED","&lt;b&gt;","")</f>
        <v/>
      </c>
      <c r="AB116" s="45" t="inlineStr">
        <is>
          <t>PASSED</t>
        </is>
      </c>
      <c r="AC116" s="43">
        <f>IF(AB116="PASSED","&lt;/b&gt;","")</f>
        <v/>
      </c>
      <c r="AD116" s="43">
        <f>IF(ISBLANK(AE116),"","&lt;b&gt;")</f>
        <v/>
      </c>
      <c r="AE116" s="51" t="inlineStr">
        <is>
          <t>03/06</t>
        </is>
      </c>
      <c r="AF116" s="42">
        <f>IF(ISBLANK(AE116),"",": ")</f>
        <v/>
      </c>
      <c r="AG116" s="42" t="inlineStr">
        <is>
          <t>House Vote 48-22</t>
        </is>
      </c>
      <c r="AH116" s="42">
        <f>IF(ISBLANK(AE116),"","&lt;/b&gt;")</f>
        <v/>
      </c>
      <c r="AI116" s="42" t="inlineStr">
        <is>
          <t>03/02: Senate Vote 18-17&lt;br&gt;02/06: FY26 holdback (-4%)</t>
        </is>
      </c>
      <c r="AJ116" s="42">
        <f>IF(ISBLANK(AI116),"","&lt;br&gt;"&amp;AI116)</f>
        <v/>
      </c>
      <c r="AK116" s="4" t="inlineStr">
        <is>
          <t>&lt;br&gt;</t>
        </is>
      </c>
      <c r="AL116" s="42" t="inlineStr">
        <is>
          <t>&lt;b&gt;&lt;i&gt;</t>
        </is>
      </c>
      <c r="AM116" s="42" t="inlineStr">
        <is>
          <t>public schools excluded &lt;br&gt;from holdback/reduction</t>
        </is>
      </c>
      <c r="AN116" s="42">
        <f>IF(ISBLANK(AM116),"","&lt;/i&gt;")</f>
        <v/>
      </c>
      <c r="AO116" s="35">
        <f>IF(ISBLANK(AQ116),"","&lt;/b&gt;&lt;br&gt;&lt;br&gt;")</f>
        <v/>
      </c>
      <c r="AP116" s="42">
        <f>IF(ISBLANK(AQ116),"","&lt;b&gt;")</f>
        <v/>
      </c>
      <c r="AQ116" s="47" t="inlineStr">
        <is>
          <t xml:space="preserve">Agency Reduction Plan:&lt;br&gt;Additional </t>
        </is>
      </c>
      <c r="AR116" s="42" t="inlineStr">
        <is>
          <t>1</t>
        </is>
      </c>
      <c r="AS116" s="4">
        <f>IF(ISBLANK(AR116),""," %")</f>
        <v/>
      </c>
      <c r="AT116" s="4">
        <f t="array" ref="AT116">_xlfn.IFS(NOT(ISBLANK(AU116))," (pgs. ",NOT(ISBLANK(AS116))," (pg. ", ISBLANK(AS116), "")</f>
        <v/>
      </c>
      <c r="AU116" s="52" t="n">
        <v>1</v>
      </c>
      <c r="AV116" s="4">
        <f>IF(ISBLANK(AW116),"",", ")</f>
        <v/>
      </c>
      <c r="AW116" s="42" t="n"/>
      <c r="AX116" s="4">
        <f>IF(ISBLANK(AY116),"",",&lt;br&gt;")</f>
        <v/>
      </c>
      <c r="AY116" s="42" t="n"/>
      <c r="AZ116" s="49">
        <f>IF(ISBLANK(AU116),"",")&lt;/b&gt;")</f>
        <v/>
      </c>
      <c r="BA116" s="4">
        <f>IF(ISBLANK(BC116),"","&lt;br&gt;")</f>
        <v/>
      </c>
      <c r="BB116" s="42">
        <f t="array" ref="BB116">IF(ISBLANK(BC116),"",_xlfn.LET(
_xlpm.words,_xlfn.TEXTSPLIT(TRIM(BC116),"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16" s="50" t="inlineStr">
        <is>
          <t>I will not be recommending further cuts to the public schools budget for FY 2026 or FY 2027. The public schools budget is more than numbers on a spreadsheet. It represents every one of our students, classrooms, teachers and communities.</t>
        </is>
      </c>
    </row>
    <row r="117">
      <c r="A117" s="20">
        <f>_xlfn.TEXTJOIN("", TRUE, F117:H117)</f>
        <v/>
      </c>
      <c r="B117" s="21">
        <f>_xlfn.TEXTJOIN("", TRUE, I117:S117)</f>
        <v/>
      </c>
      <c r="C117" s="21">
        <f>IF(ISBLANK(X117),"", _xlfn.TEXTJOIN("",TRUE,T117:Z117))</f>
        <v/>
      </c>
      <c r="D117" s="21">
        <f>IF(ISBLANK(AB117), "", _xlfn.TEXTJOIN("", TRUE, AA117:AC117))</f>
        <v/>
      </c>
      <c r="E117" s="22">
        <f>IF(AU117="NA", _xlfn.TEXTJOIN("", TRUE, AD117:AH117), _xlfn.TEXTJOIN("", TRUE, AD117:AJ117))</f>
        <v/>
      </c>
      <c r="F117" s="42">
        <f>IF(LEFT(G117,4)="FY26","&lt;b&gt;","&lt;i&gt;")</f>
        <v/>
      </c>
      <c r="G117" s="42" t="inlineStr">
        <is>
          <t>FY26 Reduction</t>
        </is>
      </c>
      <c r="H117" s="42">
        <f>IF(LEFT(G117,4)="FY26","&lt;/b&gt;","&lt;/i&gt;")</f>
        <v/>
      </c>
      <c r="I117" s="43" t="inlineStr">
        <is>
          <t>&lt;i&gt;</t>
        </is>
      </c>
      <c r="J117" s="44" t="inlineStr">
        <is>
          <t>Public Schools</t>
        </is>
      </c>
      <c r="K117" s="44" t="inlineStr">
        <is>
          <t>&lt;/i&gt;</t>
        </is>
      </c>
      <c r="L117" s="4">
        <f>IF(ISBLANK(N117),"","&lt;br&gt;")</f>
        <v/>
      </c>
      <c r="M117" s="42">
        <f>IF(ISBLANK(R117),"&lt;b&gt;","&lt;i&gt;")</f>
        <v/>
      </c>
      <c r="N117" s="42" t="inlineStr">
        <is>
          <t>Facilities</t>
        </is>
      </c>
      <c r="O117" s="42">
        <f>IF(ISBLANK(R117),"&lt;/b&gt;","&lt;/i&gt;")</f>
        <v/>
      </c>
      <c r="P117" s="4">
        <f>IF(ISBLANK(R117),"","&lt;br&gt;")</f>
        <v/>
      </c>
      <c r="Q117" s="42">
        <f>IF(ISBLANK(R117),"","&lt;b&gt;")</f>
        <v/>
      </c>
      <c r="R117" s="42" t="n"/>
      <c r="S117" s="42">
        <f>IF(ISBLANK(R117),"","&lt;/i&gt;")</f>
        <v/>
      </c>
      <c r="T117" s="43">
        <f>IF(ISBLANK(X117),"",IF(OR(AB117="PASSED",ISBLANK(N117)),"&lt;b&gt;","&lt;i&gt;"))</f>
        <v/>
      </c>
      <c r="U117" s="3">
        <f>IF(ISBLANK(V117),"","&lt;a href='")</f>
        <v/>
      </c>
      <c r="V117" s="39" t="inlineStr">
        <is>
          <t>https://legislature.idaho.gov/sessioninfo/2026/legislation/S1331/</t>
        </is>
      </c>
      <c r="W117" s="17">
        <f>IF(ISBLANK(V117),"","'&gt;")</f>
        <v/>
      </c>
      <c r="X117" s="12" t="inlineStr">
        <is>
          <t>Senate Bill 1331</t>
        </is>
      </c>
      <c r="Y117" s="17">
        <f>IF(ISBLANK(X117),"","&lt;/a&gt;")</f>
        <v/>
      </c>
      <c r="Z117" s="42">
        <f>IF(ISBLANK(X117),"",IF(OR(AB117="PASSED",ISBLANK(N117)),"&lt;/b&gt;","&lt;/i&gt;"))</f>
        <v/>
      </c>
      <c r="AA117" s="43">
        <f>IF(AB117="PASSED","&lt;b&gt;","")</f>
        <v/>
      </c>
      <c r="AB117" s="45" t="inlineStr">
        <is>
          <t>PASSED</t>
        </is>
      </c>
      <c r="AC117" s="43">
        <f>IF(AB117="PASSED","&lt;/b&gt;","")</f>
        <v/>
      </c>
      <c r="AD117" s="43">
        <f>IF(ISBLANK(AE117),"","&lt;b&gt;")</f>
        <v/>
      </c>
      <c r="AE117" s="51" t="inlineStr">
        <is>
          <t>03/06</t>
        </is>
      </c>
      <c r="AF117" s="42">
        <f>IF(ISBLANK(AE117),"",": ")</f>
        <v/>
      </c>
      <c r="AG117" s="42" t="inlineStr">
        <is>
          <t>House Vote 48-22</t>
        </is>
      </c>
      <c r="AH117" s="42">
        <f>IF(ISBLANK(AE117),"","&lt;/b&gt;")</f>
        <v/>
      </c>
      <c r="AI117" s="42" t="inlineStr">
        <is>
          <t>03/02: Senate Vote 18-17&lt;br&gt;02/06: FY26 holdback (-4%)</t>
        </is>
      </c>
      <c r="AJ117" s="42">
        <f>IF(ISBLANK(AI117),"","&lt;br&gt;"&amp;AI117)</f>
        <v/>
      </c>
      <c r="AK117" s="4" t="inlineStr">
        <is>
          <t>&lt;br&gt;</t>
        </is>
      </c>
      <c r="AL117" s="42" t="inlineStr">
        <is>
          <t>&lt;b&gt;&lt;i&gt;</t>
        </is>
      </c>
      <c r="AM117" s="42" t="inlineStr">
        <is>
          <t>public schools excluded &lt;br&gt;from holdback/reduction</t>
        </is>
      </c>
      <c r="AN117" s="42">
        <f>IF(ISBLANK(AM117),"","&lt;/i&gt;")</f>
        <v/>
      </c>
      <c r="AO117" s="35">
        <f>IF(ISBLANK(AQ117),"","&lt;/b&gt;&lt;br&gt;&lt;br&gt;")</f>
        <v/>
      </c>
      <c r="AP117" s="42">
        <f>IF(ISBLANK(AQ117),"","&lt;b&gt;")</f>
        <v/>
      </c>
      <c r="AQ117" s="47" t="inlineStr">
        <is>
          <t xml:space="preserve">Agency Reduction Plan:&lt;br&gt;Additional </t>
        </is>
      </c>
      <c r="AR117" s="42" t="inlineStr">
        <is>
          <t>1</t>
        </is>
      </c>
      <c r="AS117" s="4">
        <f>IF(ISBLANK(AR117),""," %")</f>
        <v/>
      </c>
      <c r="AT117" s="4">
        <f t="array" ref="AT117">_xlfn.IFS(NOT(ISBLANK(AU117))," (pgs. ",NOT(ISBLANK(AS117))," (pg. ", ISBLANK(AS117), "")</f>
        <v/>
      </c>
      <c r="AU117" s="52" t="n">
        <v>1</v>
      </c>
      <c r="AV117" s="4">
        <f>IF(ISBLANK(AW117),"",", ")</f>
        <v/>
      </c>
      <c r="AW117" s="42" t="n"/>
      <c r="AX117" s="4">
        <f>IF(ISBLANK(AY117),"",",&lt;br&gt;")</f>
        <v/>
      </c>
      <c r="AY117" s="42" t="n"/>
      <c r="AZ117" s="49">
        <f>IF(ISBLANK(AU117),"",")&lt;/b&gt;")</f>
        <v/>
      </c>
      <c r="BA117" s="4">
        <f>IF(ISBLANK(BC117),"","&lt;br&gt;")</f>
        <v/>
      </c>
      <c r="BB117" s="42">
        <f t="array" ref="BB117">IF(ISBLANK(BC117),"",_xlfn.LET(
_xlpm.words,_xlfn.TEXTSPLIT(TRIM(BC117),"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17" s="50" t="inlineStr">
        <is>
          <t>I will not be recommending further cuts to the public schools budget for FY 2026 or FY 2027. The public schools budget is more than numbers on a spreadsheet. It represents every one of our students, classrooms, teachers and communities.</t>
        </is>
      </c>
    </row>
    <row r="118">
      <c r="A118" s="20">
        <f>_xlfn.TEXTJOIN("", TRUE, F118:H118)</f>
        <v/>
      </c>
      <c r="B118" s="21">
        <f>_xlfn.TEXTJOIN("", TRUE, I118:S118)</f>
        <v/>
      </c>
      <c r="C118" s="21">
        <f>IF(ISBLANK(X118),"", _xlfn.TEXTJOIN("",TRUE,T118:Z118))</f>
        <v/>
      </c>
      <c r="D118" s="21">
        <f>IF(ISBLANK(AB118), "", _xlfn.TEXTJOIN("", TRUE, AA118:AC118))</f>
        <v/>
      </c>
      <c r="E118" s="22">
        <f>IF(AU118="NA", _xlfn.TEXTJOIN("", TRUE, AD118:AH118), _xlfn.TEXTJOIN("", TRUE, AD118:AJ118))</f>
        <v/>
      </c>
      <c r="F118" s="42">
        <f>IF(LEFT(G118,4)="FY26","&lt;b&gt;","&lt;i&gt;")</f>
        <v/>
      </c>
      <c r="G118" s="42" t="inlineStr">
        <is>
          <t>FY26 Reduction</t>
        </is>
      </c>
      <c r="H118" s="42">
        <f>IF(LEFT(G118,4)="FY26","&lt;/b&gt;","&lt;/i&gt;")</f>
        <v/>
      </c>
      <c r="I118" s="43" t="inlineStr">
        <is>
          <t>&lt;i&gt;</t>
        </is>
      </c>
      <c r="J118" s="44" t="inlineStr">
        <is>
          <t>Public Schools</t>
        </is>
      </c>
      <c r="K118" s="44" t="inlineStr">
        <is>
          <t>&lt;/i&gt;</t>
        </is>
      </c>
      <c r="L118" s="4">
        <f>IF(ISBLANK(N118),"","&lt;br&gt;")</f>
        <v/>
      </c>
      <c r="M118" s="42">
        <f>IF(ISBLANK(R118),"&lt;b&gt;","&lt;i&gt;")</f>
        <v/>
      </c>
      <c r="N118" s="42" t="inlineStr">
        <is>
          <t>Idaho Digital Learning Academy</t>
        </is>
      </c>
      <c r="O118" s="42">
        <f>IF(ISBLANK(R118),"&lt;/b&gt;","&lt;/i&gt;")</f>
        <v/>
      </c>
      <c r="P118" s="4">
        <f>IF(ISBLANK(R118),"","&lt;br&gt;")</f>
        <v/>
      </c>
      <c r="Q118" s="42">
        <f>IF(ISBLANK(R118),"","&lt;b&gt;")</f>
        <v/>
      </c>
      <c r="R118" s="42" t="n"/>
      <c r="S118" s="42">
        <f>IF(ISBLANK(R118),"","&lt;/i&gt;")</f>
        <v/>
      </c>
      <c r="T118" s="43">
        <f>IF(ISBLANK(X118),"",IF(OR(AB118="PASSED",ISBLANK(N118)),"&lt;b&gt;","&lt;i&gt;"))</f>
        <v/>
      </c>
      <c r="U118" s="3">
        <f>IF(ISBLANK(V118),"","&lt;a href='")</f>
        <v/>
      </c>
      <c r="V118" s="39" t="inlineStr">
        <is>
          <t>https://legislature.idaho.gov/sessioninfo/2026/legislation/S1331/</t>
        </is>
      </c>
      <c r="W118" s="17">
        <f>IF(ISBLANK(V118),"","'&gt;")</f>
        <v/>
      </c>
      <c r="X118" s="12" t="inlineStr">
        <is>
          <t>Senate Bill 1331</t>
        </is>
      </c>
      <c r="Y118" s="17">
        <f>IF(ISBLANK(X118),"","&lt;/a&gt;")</f>
        <v/>
      </c>
      <c r="Z118" s="42">
        <f>IF(ISBLANK(X118),"",IF(OR(AB118="PASSED",ISBLANK(N118)),"&lt;/b&gt;","&lt;/i&gt;"))</f>
        <v/>
      </c>
      <c r="AA118" s="43">
        <f>IF(AB118="PASSED","&lt;b&gt;","")</f>
        <v/>
      </c>
      <c r="AB118" s="45" t="inlineStr">
        <is>
          <t>PASSED</t>
        </is>
      </c>
      <c r="AC118" s="43">
        <f>IF(AB118="PASSED","&lt;/b&gt;","")</f>
        <v/>
      </c>
      <c r="AD118" s="43">
        <f>IF(ISBLANK(AE118),"","&lt;b&gt;")</f>
        <v/>
      </c>
      <c r="AE118" s="51" t="inlineStr">
        <is>
          <t>03/06</t>
        </is>
      </c>
      <c r="AF118" s="42">
        <f>IF(ISBLANK(AE118),"",": ")</f>
        <v/>
      </c>
      <c r="AG118" s="42" t="inlineStr">
        <is>
          <t>House Vote 48-22</t>
        </is>
      </c>
      <c r="AH118" s="42">
        <f>IF(ISBLANK(AE118),"","&lt;/b&gt;")</f>
        <v/>
      </c>
      <c r="AI118" s="42" t="inlineStr">
        <is>
          <t>03/02: Senate Vote 18-17&lt;br&gt;02/06: FY26 holdback (-4%)</t>
        </is>
      </c>
      <c r="AJ118" s="42">
        <f>IF(ISBLANK(AI118),"","&lt;br&gt;"&amp;AI118)</f>
        <v/>
      </c>
      <c r="AK118" s="4" t="inlineStr">
        <is>
          <t>&lt;br&gt;</t>
        </is>
      </c>
      <c r="AL118" s="42" t="inlineStr">
        <is>
          <t>&lt;b&gt;&lt;i&gt;</t>
        </is>
      </c>
      <c r="AM118" s="42" t="inlineStr">
        <is>
          <t>public schools excluded &lt;br&gt;from holdback/reduction</t>
        </is>
      </c>
      <c r="AN118" s="42">
        <f>IF(ISBLANK(AM118),"","&lt;/i&gt;")</f>
        <v/>
      </c>
      <c r="AO118" s="35">
        <f>IF(ISBLANK(AQ118),"","&lt;/b&gt;&lt;br&gt;&lt;br&gt;")</f>
        <v/>
      </c>
      <c r="AP118" s="42">
        <f>IF(ISBLANK(AQ118),"","&lt;b&gt;")</f>
        <v/>
      </c>
      <c r="AQ118" s="47" t="inlineStr">
        <is>
          <t xml:space="preserve">Agency Reduction Plan:&lt;br&gt;Additional </t>
        </is>
      </c>
      <c r="AR118" s="42" t="inlineStr">
        <is>
          <t>1</t>
        </is>
      </c>
      <c r="AS118" s="4">
        <f>IF(ISBLANK(AR118),""," %")</f>
        <v/>
      </c>
      <c r="AT118" s="4">
        <f t="array" ref="AT118">_xlfn.IFS(NOT(ISBLANK(AU118))," (pgs. ",NOT(ISBLANK(AS118))," (pg. ", ISBLANK(AS118), "")</f>
        <v/>
      </c>
      <c r="AU118" s="52" t="n">
        <v>1</v>
      </c>
      <c r="AV118" s="4">
        <f>IF(ISBLANK(AW118),"",", ")</f>
        <v/>
      </c>
      <c r="AW118" s="42" t="n"/>
      <c r="AX118" s="4">
        <f>IF(ISBLANK(AY118),"",",&lt;br&gt;")</f>
        <v/>
      </c>
      <c r="AY118" s="42" t="n"/>
      <c r="AZ118" s="49">
        <f>IF(ISBLANK(AU118),"",")&lt;/b&gt;")</f>
        <v/>
      </c>
      <c r="BA118" s="4">
        <f>IF(ISBLANK(BC118),"","&lt;br&gt;")</f>
        <v/>
      </c>
      <c r="BB118" s="42">
        <f t="array" ref="BB118">IF(ISBLANK(BC118),"",_xlfn.LET(
_xlpm.words,_xlfn.TEXTSPLIT(TRIM(BC118),"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18" s="50" t="inlineStr">
        <is>
          <t>I will not be recommending further cuts to the public schools budget for FY 2026 or FY 2027. The public schools budget is more than numbers on a spreadsheet. It represents every one of our students, classrooms, teachers and communities.</t>
        </is>
      </c>
    </row>
    <row r="119">
      <c r="A119" s="20">
        <f>_xlfn.TEXTJOIN("", TRUE, F119:H119)</f>
        <v/>
      </c>
      <c r="B119" s="21">
        <f>_xlfn.TEXTJOIN("", TRUE, I119:S119)</f>
        <v/>
      </c>
      <c r="C119" s="21">
        <f>IF(ISBLANK(X119),"", _xlfn.TEXTJOIN("",TRUE,T119:Z119))</f>
        <v/>
      </c>
      <c r="D119" s="21">
        <f>IF(ISBLANK(AB119), "", _xlfn.TEXTJOIN("", TRUE, AA119:AC119))</f>
        <v/>
      </c>
      <c r="E119" s="22">
        <f>IF(AU119="NA", _xlfn.TEXTJOIN("", TRUE, AD119:AH119), _xlfn.TEXTJOIN("", TRUE, AD119:AJ119))</f>
        <v/>
      </c>
      <c r="F119" s="42">
        <f>IF(LEFT(G119,4)="FY26","&lt;b&gt;","&lt;i&gt;")</f>
        <v/>
      </c>
      <c r="G119" s="42" t="inlineStr">
        <is>
          <t>FY26 Reduction</t>
        </is>
      </c>
      <c r="H119" s="42">
        <f>IF(LEFT(G119,4)="FY26","&lt;/b&gt;","&lt;/i&gt;")</f>
        <v/>
      </c>
      <c r="I119" s="43" t="inlineStr">
        <is>
          <t>&lt;i&gt;</t>
        </is>
      </c>
      <c r="J119" s="44" t="inlineStr">
        <is>
          <t>Public Schools</t>
        </is>
      </c>
      <c r="K119" s="44" t="inlineStr">
        <is>
          <t>&lt;/i&gt;</t>
        </is>
      </c>
      <c r="L119" s="4">
        <f>IF(ISBLANK(N119),"","&lt;br&gt;")</f>
        <v/>
      </c>
      <c r="M119" s="42">
        <f>IF(ISBLANK(R119),"&lt;b&gt;","&lt;i&gt;")</f>
        <v/>
      </c>
      <c r="N119" s="42" t="inlineStr">
        <is>
          <t>Operations</t>
        </is>
      </c>
      <c r="O119" s="42">
        <f>IF(ISBLANK(R119),"&lt;/b&gt;","&lt;/i&gt;")</f>
        <v/>
      </c>
      <c r="P119" s="4">
        <f>IF(ISBLANK(R119),"","&lt;br&gt;")</f>
        <v/>
      </c>
      <c r="Q119" s="42">
        <f>IF(ISBLANK(R119),"","&lt;b&gt;")</f>
        <v/>
      </c>
      <c r="R119" s="42" t="n"/>
      <c r="S119" s="42">
        <f>IF(ISBLANK(R119),"","&lt;/i&gt;")</f>
        <v/>
      </c>
      <c r="T119" s="43">
        <f>IF(ISBLANK(X119),"",IF(OR(AB119="PASSED",ISBLANK(N119)),"&lt;b&gt;","&lt;i&gt;"))</f>
        <v/>
      </c>
      <c r="U119" s="3">
        <f>IF(ISBLANK(V119),"","&lt;a href='")</f>
        <v/>
      </c>
      <c r="V119" s="39" t="inlineStr">
        <is>
          <t>https://legislature.idaho.gov/sessioninfo/2026/legislation/S1331/</t>
        </is>
      </c>
      <c r="W119" s="17">
        <f>IF(ISBLANK(V119),"","'&gt;")</f>
        <v/>
      </c>
      <c r="X119" s="12" t="inlineStr">
        <is>
          <t>Senate Bill 1331</t>
        </is>
      </c>
      <c r="Y119" s="17">
        <f>IF(ISBLANK(X119),"","&lt;/a&gt;")</f>
        <v/>
      </c>
      <c r="Z119" s="42">
        <f>IF(ISBLANK(X119),"",IF(OR(AB119="PASSED",ISBLANK(N119)),"&lt;/b&gt;","&lt;/i&gt;"))</f>
        <v/>
      </c>
      <c r="AA119" s="43">
        <f>IF(AB119="PASSED","&lt;b&gt;","")</f>
        <v/>
      </c>
      <c r="AB119" s="45" t="inlineStr">
        <is>
          <t>PASSED</t>
        </is>
      </c>
      <c r="AC119" s="43">
        <f>IF(AB119="PASSED","&lt;/b&gt;","")</f>
        <v/>
      </c>
      <c r="AD119" s="43">
        <f>IF(ISBLANK(AE119),"","&lt;b&gt;")</f>
        <v/>
      </c>
      <c r="AE119" s="51" t="inlineStr">
        <is>
          <t>03/06</t>
        </is>
      </c>
      <c r="AF119" s="42">
        <f>IF(ISBLANK(AE119),"",": ")</f>
        <v/>
      </c>
      <c r="AG119" s="42" t="inlineStr">
        <is>
          <t>House Vote 48-22</t>
        </is>
      </c>
      <c r="AH119" s="42">
        <f>IF(ISBLANK(AE119),"","&lt;/b&gt;")</f>
        <v/>
      </c>
      <c r="AI119" s="42" t="inlineStr">
        <is>
          <t>03/02: Senate Vote 18-17&lt;br&gt;02/06: FY26 holdback (-4%)</t>
        </is>
      </c>
      <c r="AJ119" s="42">
        <f>IF(ISBLANK(AI119),"","&lt;br&gt;"&amp;AI119)</f>
        <v/>
      </c>
      <c r="AK119" s="4" t="inlineStr">
        <is>
          <t>&lt;br&gt;</t>
        </is>
      </c>
      <c r="AL119" s="42" t="inlineStr">
        <is>
          <t>&lt;b&gt;&lt;i&gt;</t>
        </is>
      </c>
      <c r="AM119" s="42" t="inlineStr">
        <is>
          <t>public schools excluded &lt;br&gt;from holdback/reduction</t>
        </is>
      </c>
      <c r="AN119" s="42">
        <f>IF(ISBLANK(AM119),"","&lt;/i&gt;")</f>
        <v/>
      </c>
      <c r="AO119" s="35">
        <f>IF(ISBLANK(AQ119),"","&lt;/b&gt;&lt;br&gt;&lt;br&gt;")</f>
        <v/>
      </c>
      <c r="AP119" s="42">
        <f>IF(ISBLANK(AQ119),"","&lt;b&gt;")</f>
        <v/>
      </c>
      <c r="AQ119" s="47" t="inlineStr">
        <is>
          <t xml:space="preserve">Agency Reduction Plan:&lt;br&gt;Additional </t>
        </is>
      </c>
      <c r="AR119" s="42" t="inlineStr">
        <is>
          <t>1</t>
        </is>
      </c>
      <c r="AS119" s="4">
        <f>IF(ISBLANK(AR119),""," %")</f>
        <v/>
      </c>
      <c r="AT119" s="4">
        <f t="array" ref="AT119">_xlfn.IFS(NOT(ISBLANK(AU119))," (pgs. ",NOT(ISBLANK(AS119))," (pg. ", ISBLANK(AS119), "")</f>
        <v/>
      </c>
      <c r="AU119" s="52" t="n">
        <v>1</v>
      </c>
      <c r="AV119" s="4">
        <f>IF(ISBLANK(AW119),"",", ")</f>
        <v/>
      </c>
      <c r="AW119" s="42" t="n"/>
      <c r="AX119" s="4">
        <f>IF(ISBLANK(AY119),"",",&lt;br&gt;")</f>
        <v/>
      </c>
      <c r="AY119" s="42" t="n"/>
      <c r="AZ119" s="49">
        <f>IF(ISBLANK(AU119),"",")&lt;/b&gt;")</f>
        <v/>
      </c>
      <c r="BA119" s="4">
        <f>IF(ISBLANK(BC119),"","&lt;br&gt;")</f>
        <v/>
      </c>
      <c r="BB119" s="42">
        <f t="array" ref="BB119">IF(ISBLANK(BC119),"",_xlfn.LET(
_xlpm.words,_xlfn.TEXTSPLIT(TRIM(BC119),"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19" s="50" t="inlineStr">
        <is>
          <t>I will not be recommending further cuts to the public schools budget for FY 2026 or FY 2027. The public schools budget is more than numbers on a spreadsheet. It represents every one of our students, classrooms, teachers and communities.</t>
        </is>
      </c>
    </row>
    <row r="120">
      <c r="A120" s="20">
        <f>_xlfn.TEXTJOIN("", TRUE, F120:H120)</f>
        <v/>
      </c>
      <c r="B120" s="21">
        <f>_xlfn.TEXTJOIN("", TRUE, I120:S120)</f>
        <v/>
      </c>
      <c r="C120" s="21">
        <f>IF(ISBLANK(X120),"", _xlfn.TEXTJOIN("",TRUE,T120:Z120))</f>
        <v/>
      </c>
      <c r="D120" s="21">
        <f>IF(ISBLANK(AB120), "", _xlfn.TEXTJOIN("", TRUE, AA120:AC120))</f>
        <v/>
      </c>
      <c r="E120" s="22">
        <f>IF(AU120="NA", _xlfn.TEXTJOIN("", TRUE, AD120:AH120), _xlfn.TEXTJOIN("", TRUE, AD120:AJ120))</f>
        <v/>
      </c>
      <c r="F120" s="42">
        <f>IF(LEFT(G120,4)="FY26","&lt;b&gt;","&lt;i&gt;")</f>
        <v/>
      </c>
      <c r="G120" s="42" t="inlineStr">
        <is>
          <t>FY26 Reduction</t>
        </is>
      </c>
      <c r="H120" s="42">
        <f>IF(LEFT(G120,4)="FY26","&lt;/b&gt;","&lt;/i&gt;")</f>
        <v/>
      </c>
      <c r="I120" s="43" t="inlineStr">
        <is>
          <t>&lt;i&gt;</t>
        </is>
      </c>
      <c r="J120" s="44" t="inlineStr">
        <is>
          <t>Public Schools</t>
        </is>
      </c>
      <c r="K120" s="44" t="inlineStr">
        <is>
          <t>&lt;/i&gt;</t>
        </is>
      </c>
      <c r="L120" s="4">
        <f>IF(ISBLANK(N120),"","&lt;br&gt;")</f>
        <v/>
      </c>
      <c r="M120" s="42">
        <f>IF(ISBLANK(R120),"&lt;b&gt;","&lt;i&gt;")</f>
        <v/>
      </c>
      <c r="N120" s="42" t="inlineStr">
        <is>
          <t>Services for the Deaf &amp; the Blind</t>
        </is>
      </c>
      <c r="O120" s="42">
        <f>IF(ISBLANK(R120),"&lt;/b&gt;","&lt;/i&gt;")</f>
        <v/>
      </c>
      <c r="P120" s="4">
        <f>IF(ISBLANK(R120),"","&lt;br&gt;")</f>
        <v/>
      </c>
      <c r="Q120" s="42">
        <f>IF(ISBLANK(R120),"","&lt;b&gt;")</f>
        <v/>
      </c>
      <c r="R120" s="42" t="n"/>
      <c r="S120" s="42">
        <f>IF(ISBLANK(R120),"","&lt;/i&gt;")</f>
        <v/>
      </c>
      <c r="T120" s="43">
        <f>IF(ISBLANK(X120),"",IF(OR(AB120="PASSED",ISBLANK(N120)),"&lt;b&gt;","&lt;i&gt;"))</f>
        <v/>
      </c>
      <c r="U120" s="3">
        <f>IF(ISBLANK(V120),"","&lt;a href='")</f>
        <v/>
      </c>
      <c r="V120" s="39" t="inlineStr">
        <is>
          <t>https://legislature.idaho.gov/sessioninfo/2026/legislation/S1331/</t>
        </is>
      </c>
      <c r="W120" s="17">
        <f>IF(ISBLANK(V120),"","'&gt;")</f>
        <v/>
      </c>
      <c r="X120" s="12" t="inlineStr">
        <is>
          <t>Senate Bill 1331</t>
        </is>
      </c>
      <c r="Y120" s="17">
        <f>IF(ISBLANK(X120),"","&lt;/a&gt;")</f>
        <v/>
      </c>
      <c r="Z120" s="42">
        <f>IF(ISBLANK(X120),"",IF(OR(AB120="PASSED",ISBLANK(N120)),"&lt;/b&gt;","&lt;/i&gt;"))</f>
        <v/>
      </c>
      <c r="AA120" s="43">
        <f>IF(AB120="PASSED","&lt;b&gt;","")</f>
        <v/>
      </c>
      <c r="AB120" s="45" t="inlineStr">
        <is>
          <t>PASSED</t>
        </is>
      </c>
      <c r="AC120" s="43">
        <f>IF(AB120="PASSED","&lt;/b&gt;","")</f>
        <v/>
      </c>
      <c r="AD120" s="43">
        <f>IF(ISBLANK(AE120),"","&lt;b&gt;")</f>
        <v/>
      </c>
      <c r="AE120" s="51" t="inlineStr">
        <is>
          <t>03/06</t>
        </is>
      </c>
      <c r="AF120" s="42">
        <f>IF(ISBLANK(AE120),"",": ")</f>
        <v/>
      </c>
      <c r="AG120" s="42" t="inlineStr">
        <is>
          <t>House Vote 48-22</t>
        </is>
      </c>
      <c r="AH120" s="42">
        <f>IF(ISBLANK(AE120),"","&lt;/b&gt;")</f>
        <v/>
      </c>
      <c r="AI120" s="42" t="inlineStr">
        <is>
          <t>03/02: Senate Vote 18-17&lt;br&gt;02/06: FY26 holdback (-4%)</t>
        </is>
      </c>
      <c r="AJ120" s="42">
        <f>IF(ISBLANK(AI120),"","&lt;br&gt;"&amp;AI120)</f>
        <v/>
      </c>
      <c r="AK120" s="4" t="inlineStr">
        <is>
          <t>&lt;br&gt;</t>
        </is>
      </c>
      <c r="AL120" s="42" t="inlineStr">
        <is>
          <t>&lt;b&gt;&lt;i&gt;</t>
        </is>
      </c>
      <c r="AM120" s="42" t="inlineStr">
        <is>
          <t>public schools excluded &lt;br&gt;from holdback/reduction</t>
        </is>
      </c>
      <c r="AN120" s="42">
        <f>IF(ISBLANK(AM120),"","&lt;/i&gt;")</f>
        <v/>
      </c>
      <c r="AO120" s="35">
        <f>IF(ISBLANK(AQ120),"","&lt;/b&gt;&lt;br&gt;&lt;br&gt;")</f>
        <v/>
      </c>
      <c r="AP120" s="42">
        <f>IF(ISBLANK(AQ120),"","&lt;b&gt;")</f>
        <v/>
      </c>
      <c r="AQ120" s="47" t="inlineStr">
        <is>
          <t xml:space="preserve">Agency Reduction Plan:&lt;br&gt;Additional </t>
        </is>
      </c>
      <c r="AR120" s="42" t="inlineStr">
        <is>
          <t>1</t>
        </is>
      </c>
      <c r="AS120" s="4">
        <f>IF(ISBLANK(AR120),""," %")</f>
        <v/>
      </c>
      <c r="AT120" s="4">
        <f t="array" ref="AT120">_xlfn.IFS(NOT(ISBLANK(AU120))," (pgs. ",NOT(ISBLANK(AS120))," (pg. ", ISBLANK(AS120), "")</f>
        <v/>
      </c>
      <c r="AU120" s="52" t="n">
        <v>1</v>
      </c>
      <c r="AV120" s="4">
        <f>IF(ISBLANK(AW120),"",", ")</f>
        <v/>
      </c>
      <c r="AW120" s="42" t="n"/>
      <c r="AX120" s="4">
        <f>IF(ISBLANK(AY120),"",",&lt;br&gt;")</f>
        <v/>
      </c>
      <c r="AY120" s="42" t="n"/>
      <c r="AZ120" s="49">
        <f>IF(ISBLANK(AU120),"",")&lt;/b&gt;")</f>
        <v/>
      </c>
      <c r="BA120" s="4">
        <f>IF(ISBLANK(BC120),"","&lt;br&gt;")</f>
        <v/>
      </c>
      <c r="BB120" s="42">
        <f t="array" ref="BB120">IF(ISBLANK(BC120),"",_xlfn.LET(
_xlpm.words,_xlfn.TEXTSPLIT(TRIM(BC120),"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20" s="50" t="inlineStr">
        <is>
          <t>I will not be recommending further cuts to the public schools budget for FY 2026 or FY 2027. The public schools budget is more than numbers on a spreadsheet. It represents every one of our students, classrooms, teachers and communities.</t>
        </is>
      </c>
    </row>
    <row r="121">
      <c r="A121" s="20">
        <f>_xlfn.TEXTJOIN("", TRUE, F121:H121)</f>
        <v/>
      </c>
      <c r="B121" s="21">
        <f>_xlfn.TEXTJOIN("", TRUE, I121:S121)</f>
        <v/>
      </c>
      <c r="C121" s="21">
        <f>IF(ISBLANK(X121),"", _xlfn.TEXTJOIN("",TRUE,T121:Z121))</f>
        <v/>
      </c>
      <c r="D121" s="21">
        <f>IF(ISBLANK(AB121), "", _xlfn.TEXTJOIN("", TRUE, AA121:AC121))</f>
        <v/>
      </c>
      <c r="E121" s="22">
        <f>IF(AU121="NA", _xlfn.TEXTJOIN("", TRUE, AD121:AH121), _xlfn.TEXTJOIN("", TRUE, AD121:AJ121))</f>
        <v/>
      </c>
      <c r="F121" s="42">
        <f>IF(LEFT(G121,4)="FY26","&lt;b&gt;","&lt;i&gt;")</f>
        <v/>
      </c>
      <c r="G121" s="42" t="inlineStr">
        <is>
          <t>FY26 Reduction</t>
        </is>
      </c>
      <c r="H121" s="42">
        <f>IF(LEFT(G121,4)="FY26","&lt;/b&gt;","&lt;/i&gt;")</f>
        <v/>
      </c>
      <c r="I121" s="43" t="inlineStr">
        <is>
          <t>&lt;i&gt;</t>
        </is>
      </c>
      <c r="J121" s="44" t="inlineStr">
        <is>
          <t>Public Schools</t>
        </is>
      </c>
      <c r="K121" s="44" t="inlineStr">
        <is>
          <t>&lt;/i&gt;</t>
        </is>
      </c>
      <c r="L121" s="4">
        <f>IF(ISBLANK(N121),"","&lt;br&gt;")</f>
        <v/>
      </c>
      <c r="M121" s="42">
        <f>IF(ISBLANK(R121),"&lt;b&gt;","&lt;i&gt;")</f>
        <v/>
      </c>
      <c r="N121" s="42" t="inlineStr">
        <is>
          <t>Student Support</t>
        </is>
      </c>
      <c r="O121" s="42">
        <f>IF(ISBLANK(R121),"&lt;/b&gt;","&lt;/i&gt;")</f>
        <v/>
      </c>
      <c r="P121" s="4">
        <f>IF(ISBLANK(R121),"","&lt;br&gt;")</f>
        <v/>
      </c>
      <c r="Q121" s="42">
        <f>IF(ISBLANK(R121),"","&lt;b&gt;")</f>
        <v/>
      </c>
      <c r="R121" s="42" t="n"/>
      <c r="S121" s="42">
        <f>IF(ISBLANK(R121),"","&lt;/i&gt;")</f>
        <v/>
      </c>
      <c r="T121" s="43">
        <f>IF(ISBLANK(X121),"",IF(OR(AB121="PASSED",ISBLANK(N121)),"&lt;b&gt;","&lt;i&gt;"))</f>
        <v/>
      </c>
      <c r="U121" s="3">
        <f>IF(ISBLANK(V121),"","&lt;a href='")</f>
        <v/>
      </c>
      <c r="V121" s="39" t="inlineStr">
        <is>
          <t>https://legislature.idaho.gov/sessioninfo/2026/legislation/S1331/</t>
        </is>
      </c>
      <c r="W121" s="17">
        <f>IF(ISBLANK(V121),"","'&gt;")</f>
        <v/>
      </c>
      <c r="X121" s="12" t="inlineStr">
        <is>
          <t>Senate Bill 1331</t>
        </is>
      </c>
      <c r="Y121" s="17">
        <f>IF(ISBLANK(X121),"","&lt;/a&gt;")</f>
        <v/>
      </c>
      <c r="Z121" s="42">
        <f>IF(ISBLANK(X121),"",IF(OR(AB121="PASSED",ISBLANK(N121)),"&lt;/b&gt;","&lt;/i&gt;"))</f>
        <v/>
      </c>
      <c r="AA121" s="43">
        <f>IF(AB121="PASSED","&lt;b&gt;","")</f>
        <v/>
      </c>
      <c r="AB121" s="45" t="inlineStr">
        <is>
          <t>PASSED</t>
        </is>
      </c>
      <c r="AC121" s="43">
        <f>IF(AB121="PASSED","&lt;/b&gt;","")</f>
        <v/>
      </c>
      <c r="AD121" s="43">
        <f>IF(ISBLANK(AE121),"","&lt;b&gt;")</f>
        <v/>
      </c>
      <c r="AE121" s="51" t="inlineStr">
        <is>
          <t>03/06</t>
        </is>
      </c>
      <c r="AF121" s="42">
        <f>IF(ISBLANK(AE121),"",": ")</f>
        <v/>
      </c>
      <c r="AG121" s="42" t="inlineStr">
        <is>
          <t>House Vote 48-22</t>
        </is>
      </c>
      <c r="AH121" s="42">
        <f>IF(ISBLANK(AE121),"","&lt;/b&gt;")</f>
        <v/>
      </c>
      <c r="AI121" s="42" t="inlineStr">
        <is>
          <t>03/02: Senate Vote 18-17&lt;br&gt;02/06: FY26 holdback (-4%)</t>
        </is>
      </c>
      <c r="AJ121" s="42">
        <f>IF(ISBLANK(AI121),"","&lt;br&gt;"&amp;AI121)</f>
        <v/>
      </c>
      <c r="AK121" s="4" t="inlineStr">
        <is>
          <t>&lt;br&gt;</t>
        </is>
      </c>
      <c r="AL121" s="42" t="inlineStr">
        <is>
          <t>&lt;b&gt;&lt;i&gt;</t>
        </is>
      </c>
      <c r="AM121" s="42" t="inlineStr">
        <is>
          <t>public schools excluded &lt;br&gt;from holdback/reduction</t>
        </is>
      </c>
      <c r="AN121" s="42">
        <f>IF(ISBLANK(AM121),"","&lt;/i&gt;")</f>
        <v/>
      </c>
      <c r="AO121" s="35">
        <f>IF(ISBLANK(AQ121),"","&lt;/b&gt;&lt;br&gt;&lt;br&gt;")</f>
        <v/>
      </c>
      <c r="AP121" s="42">
        <f>IF(ISBLANK(AQ121),"","&lt;b&gt;")</f>
        <v/>
      </c>
      <c r="AQ121" s="47" t="inlineStr">
        <is>
          <t xml:space="preserve">Agency Reduction Plan:&lt;br&gt;Additional </t>
        </is>
      </c>
      <c r="AR121" s="42" t="inlineStr">
        <is>
          <t>1</t>
        </is>
      </c>
      <c r="AS121" s="4">
        <f>IF(ISBLANK(AR121),""," %")</f>
        <v/>
      </c>
      <c r="AT121" s="4">
        <f t="array" ref="AT121">_xlfn.IFS(NOT(ISBLANK(AU121))," (pgs. ",NOT(ISBLANK(AS121))," (pg. ", ISBLANK(AS121), "")</f>
        <v/>
      </c>
      <c r="AU121" s="52" t="n">
        <v>1</v>
      </c>
      <c r="AV121" s="4">
        <f>IF(ISBLANK(AW121),"",", ")</f>
        <v/>
      </c>
      <c r="AW121" s="42" t="n"/>
      <c r="AX121" s="4">
        <f>IF(ISBLANK(AY121),"",",&lt;br&gt;")</f>
        <v/>
      </c>
      <c r="AY121" s="42" t="n"/>
      <c r="AZ121" s="49">
        <f>IF(ISBLANK(AU121),"",")&lt;/b&gt;")</f>
        <v/>
      </c>
      <c r="BA121" s="4">
        <f>IF(ISBLANK(BC121),"","&lt;br&gt;")</f>
        <v/>
      </c>
      <c r="BB121" s="42">
        <f t="array" ref="BB121">IF(ISBLANK(BC121),"",_xlfn.LET(
_xlpm.words,_xlfn.TEXTSPLIT(TRIM(BC121),"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21" s="50" t="inlineStr">
        <is>
          <t>I will not be recommending further cuts to the public schools budget for FY 2026 or FY 2027. The public schools budget is more than numbers on a spreadsheet. It represents every one of our students, classrooms, teachers and communities.</t>
        </is>
      </c>
    </row>
    <row r="122">
      <c r="A122" s="20">
        <f>_xlfn.TEXTJOIN("", TRUE, F122:H122)</f>
        <v/>
      </c>
      <c r="B122" s="21">
        <f>_xlfn.TEXTJOIN("", TRUE, I122:S122)</f>
        <v/>
      </c>
      <c r="C122" s="21">
        <f>IF(ISBLANK(X122),"", _xlfn.TEXTJOIN("",TRUE,T122:Z122))</f>
        <v/>
      </c>
      <c r="D122" s="21">
        <f>IF(ISBLANK(AB122), "", _xlfn.TEXTJOIN("", TRUE, AA122:AC122))</f>
        <v/>
      </c>
      <c r="E122" s="22">
        <f>IF(AU122="NA", _xlfn.TEXTJOIN("", TRUE, AD122:AH122), _xlfn.TEXTJOIN("", TRUE, AD122:AJ122))</f>
        <v/>
      </c>
      <c r="F122" s="42">
        <f>IF(LEFT(G122,4)="FY26","&lt;b&gt;","&lt;i&gt;")</f>
        <v/>
      </c>
      <c r="G122" s="42" t="inlineStr">
        <is>
          <t>FY26 Reduction</t>
        </is>
      </c>
      <c r="H122" s="42">
        <f>IF(LEFT(G122,4)="FY26","&lt;/b&gt;","&lt;/i&gt;")</f>
        <v/>
      </c>
      <c r="I122" s="43" t="inlineStr">
        <is>
          <t>&lt;i&gt;</t>
        </is>
      </c>
      <c r="J122" s="44" t="inlineStr">
        <is>
          <t>Public Schools</t>
        </is>
      </c>
      <c r="K122" s="44" t="inlineStr">
        <is>
          <t>&lt;/i&gt;</t>
        </is>
      </c>
      <c r="L122" s="4">
        <f>IF(ISBLANK(N122),"","&lt;br&gt;")</f>
        <v/>
      </c>
      <c r="M122" s="42">
        <f>IF(ISBLANK(R122),"&lt;b&gt;","&lt;i&gt;")</f>
        <v/>
      </c>
      <c r="N122" s="42" t="inlineStr">
        <is>
          <t>Teachers</t>
        </is>
      </c>
      <c r="O122" s="42">
        <f>IF(ISBLANK(R122),"&lt;/b&gt;","&lt;/i&gt;")</f>
        <v/>
      </c>
      <c r="P122" s="4">
        <f>IF(ISBLANK(R122),"","&lt;br&gt;")</f>
        <v/>
      </c>
      <c r="Q122" s="42">
        <f>IF(ISBLANK(R122),"","&lt;b&gt;")</f>
        <v/>
      </c>
      <c r="R122" s="42" t="n"/>
      <c r="S122" s="42">
        <f>IF(ISBLANK(R122),"","&lt;/i&gt;")</f>
        <v/>
      </c>
      <c r="T122" s="43">
        <f>IF(ISBLANK(X122),"",IF(OR(AB122="PASSED",ISBLANK(N122)),"&lt;b&gt;","&lt;i&gt;"))</f>
        <v/>
      </c>
      <c r="U122" s="3">
        <f>IF(ISBLANK(V122),"","&lt;a href='")</f>
        <v/>
      </c>
      <c r="V122" s="39" t="inlineStr">
        <is>
          <t>https://legislature.idaho.gov/sessioninfo/2026/legislation/S1331/</t>
        </is>
      </c>
      <c r="W122" s="17">
        <f>IF(ISBLANK(V122),"","'&gt;")</f>
        <v/>
      </c>
      <c r="X122" s="12" t="inlineStr">
        <is>
          <t>Senate Bill 1331</t>
        </is>
      </c>
      <c r="Y122" s="17">
        <f>IF(ISBLANK(X122),"","&lt;/a&gt;")</f>
        <v/>
      </c>
      <c r="Z122" s="42">
        <f>IF(ISBLANK(X122),"",IF(OR(AB122="PASSED",ISBLANK(N122)),"&lt;/b&gt;","&lt;/i&gt;"))</f>
        <v/>
      </c>
      <c r="AA122" s="43">
        <f>IF(AB122="PASSED","&lt;b&gt;","")</f>
        <v/>
      </c>
      <c r="AB122" s="45" t="inlineStr">
        <is>
          <t>PASSED</t>
        </is>
      </c>
      <c r="AC122" s="43">
        <f>IF(AB122="PASSED","&lt;/b&gt;","")</f>
        <v/>
      </c>
      <c r="AD122" s="43">
        <f>IF(ISBLANK(AE122),"","&lt;b&gt;")</f>
        <v/>
      </c>
      <c r="AE122" s="51" t="inlineStr">
        <is>
          <t>03/06</t>
        </is>
      </c>
      <c r="AF122" s="42">
        <f>IF(ISBLANK(AE122),"",": ")</f>
        <v/>
      </c>
      <c r="AG122" s="42" t="inlineStr">
        <is>
          <t>House Vote 48-22</t>
        </is>
      </c>
      <c r="AH122" s="42">
        <f>IF(ISBLANK(AE122),"","&lt;/b&gt;")</f>
        <v/>
      </c>
      <c r="AI122" s="42" t="inlineStr">
        <is>
          <t>03/02: Senate Vote 18-17&lt;br&gt;02/06: FY26 holdback (-4%)</t>
        </is>
      </c>
      <c r="AJ122" s="42">
        <f>IF(ISBLANK(AI122),"","&lt;br&gt;"&amp;AI122)</f>
        <v/>
      </c>
      <c r="AK122" s="4" t="inlineStr">
        <is>
          <t>&lt;br&gt;</t>
        </is>
      </c>
      <c r="AL122" s="42" t="inlineStr">
        <is>
          <t>&lt;b&gt;&lt;i&gt;</t>
        </is>
      </c>
      <c r="AM122" s="42" t="inlineStr">
        <is>
          <t>public schools excluded &lt;br&gt;from holdback/reduction</t>
        </is>
      </c>
      <c r="AN122" s="42">
        <f>IF(ISBLANK(AM122),"","&lt;/i&gt;")</f>
        <v/>
      </c>
      <c r="AO122" s="35">
        <f>IF(ISBLANK(AQ122),"","&lt;/b&gt;&lt;br&gt;&lt;br&gt;")</f>
        <v/>
      </c>
      <c r="AP122" s="42">
        <f>IF(ISBLANK(AQ122),"","&lt;b&gt;")</f>
        <v/>
      </c>
      <c r="AQ122" s="47" t="inlineStr">
        <is>
          <t xml:space="preserve">Agency Reduction Plan:&lt;br&gt;Additional </t>
        </is>
      </c>
      <c r="AR122" s="42" t="inlineStr">
        <is>
          <t>1</t>
        </is>
      </c>
      <c r="AS122" s="4">
        <f>IF(ISBLANK(AR122),""," %")</f>
        <v/>
      </c>
      <c r="AT122" s="4">
        <f t="array" ref="AT122">_xlfn.IFS(NOT(ISBLANK(AU122))," (pgs. ",NOT(ISBLANK(AS122))," (pg. ", ISBLANK(AS122), "")</f>
        <v/>
      </c>
      <c r="AU122" s="52" t="n">
        <v>1</v>
      </c>
      <c r="AV122" s="4">
        <f>IF(ISBLANK(AW122),"",", ")</f>
        <v/>
      </c>
      <c r="AW122" s="42" t="n"/>
      <c r="AX122" s="4">
        <f>IF(ISBLANK(AY122),"",",&lt;br&gt;")</f>
        <v/>
      </c>
      <c r="AY122" s="42" t="n"/>
      <c r="AZ122" s="49">
        <f>IF(ISBLANK(AU122),"",")&lt;/b&gt;")</f>
        <v/>
      </c>
      <c r="BA122" s="4">
        <f>IF(ISBLANK(BC122),"","&lt;br&gt;")</f>
        <v/>
      </c>
      <c r="BB122" s="42">
        <f t="array" ref="BB122">IF(ISBLANK(BC122),"",_xlfn.LET(
_xlpm.words,_xlfn.TEXTSPLIT(TRIM(BC122),"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22" s="50" t="inlineStr">
        <is>
          <t>I will not be recommending further cuts to the public schools budget for FY 2026 or FY 2027. The public schools budget is more than numbers on a spreadsheet. It represents every one of our students, classrooms, teachers and communities.</t>
        </is>
      </c>
    </row>
    <row r="123">
      <c r="A123" s="20">
        <f>_xlfn.TEXTJOIN("", TRUE, F123:H123)</f>
        <v/>
      </c>
      <c r="B123" s="21">
        <f>_xlfn.TEXTJOIN("", TRUE, I123:S123)</f>
        <v/>
      </c>
      <c r="C123" s="21">
        <f>IF(ISBLANK(X123),"", _xlfn.TEXTJOIN("",TRUE,T123:Z123))</f>
        <v/>
      </c>
      <c r="D123" s="21">
        <f>IF(ISBLANK(AB123), "", _xlfn.TEXTJOIN("", TRUE, AA123:AC123))</f>
        <v/>
      </c>
      <c r="E123" s="22">
        <f>IF(AU123="NA", _xlfn.TEXTJOIN("", TRUE, AD123:AH123), _xlfn.TEXTJOIN("", TRUE, AD123:AJ123))</f>
        <v/>
      </c>
      <c r="F123" s="42">
        <f>IF(LEFT(G123,4)="FY26","&lt;b&gt;","&lt;i&gt;")</f>
        <v/>
      </c>
      <c r="G123" s="42" t="inlineStr">
        <is>
          <t>FY26 Reduction</t>
        </is>
      </c>
      <c r="H123" s="42">
        <f>IF(LEFT(G123,4)="FY26","&lt;/b&gt;","&lt;/i&gt;")</f>
        <v/>
      </c>
      <c r="I123" s="43" t="inlineStr">
        <is>
          <t>&lt;i&gt;</t>
        </is>
      </c>
      <c r="J123" s="44" t="inlineStr">
        <is>
          <t>State Board of Education</t>
        </is>
      </c>
      <c r="K123" s="44" t="inlineStr">
        <is>
          <t>&lt;/i&gt;</t>
        </is>
      </c>
      <c r="L123" s="4">
        <f>IF(ISBLANK(N123),"","&lt;br&gt;")</f>
        <v/>
      </c>
      <c r="M123" s="42">
        <f>IF(ISBLANK(R123),"&lt;b&gt;","&lt;i&gt;")</f>
        <v/>
      </c>
      <c r="N123" s="42" t="inlineStr">
        <is>
          <t>Agricultural Research &amp; Extension Service</t>
        </is>
      </c>
      <c r="O123" s="42">
        <f>IF(ISBLANK(R123),"&lt;/b&gt;","&lt;/i&gt;")</f>
        <v/>
      </c>
      <c r="P123" s="4">
        <f>IF(ISBLANK(R123),"","&lt;br&gt;")</f>
        <v/>
      </c>
      <c r="Q123" s="42">
        <f>IF(ISBLANK(R123),"","&lt;b&gt;")</f>
        <v/>
      </c>
      <c r="R123" s="42" t="n"/>
      <c r="S123" s="42">
        <f>IF(ISBLANK(R123),"","&lt;/i&gt;")</f>
        <v/>
      </c>
      <c r="T123" s="43">
        <f>IF(ISBLANK(X123),"",IF(OR(AB123="PASSED",ISBLANK(N123)),"&lt;b&gt;","&lt;i&gt;"))</f>
        <v/>
      </c>
      <c r="U123" s="3">
        <f>IF(ISBLANK(V123),"","&lt;a href='")</f>
        <v/>
      </c>
      <c r="V123" s="39" t="inlineStr">
        <is>
          <t>https://legislature.idaho.gov/sessioninfo/2026/legislation/S1331/</t>
        </is>
      </c>
      <c r="W123" s="17">
        <f>IF(ISBLANK(V123),"","'&gt;")</f>
        <v/>
      </c>
      <c r="X123" s="12" t="inlineStr">
        <is>
          <t>Senate Bill 1331</t>
        </is>
      </c>
      <c r="Y123" s="17">
        <f>IF(ISBLANK(X123),"","&lt;/a&gt;")</f>
        <v/>
      </c>
      <c r="Z123" s="42">
        <f>IF(ISBLANK(X123),"",IF(OR(AB123="PASSED",ISBLANK(N123)),"&lt;/b&gt;","&lt;/i&gt;"))</f>
        <v/>
      </c>
      <c r="AA123" s="43">
        <f>IF(AB123="PASSED","&lt;b&gt;","")</f>
        <v/>
      </c>
      <c r="AB123" s="45" t="inlineStr">
        <is>
          <t>PASSED</t>
        </is>
      </c>
      <c r="AC123" s="43">
        <f>IF(AB123="PASSED","&lt;/b&gt;","")</f>
        <v/>
      </c>
      <c r="AD123" s="43">
        <f>IF(ISBLANK(AE123),"","&lt;b&gt;")</f>
        <v/>
      </c>
      <c r="AE123" s="51" t="inlineStr">
        <is>
          <t>03/06</t>
        </is>
      </c>
      <c r="AF123" s="42">
        <f>IF(ISBLANK(AE123),"",": ")</f>
        <v/>
      </c>
      <c r="AG123" s="42" t="inlineStr">
        <is>
          <t>House Vote 48-22</t>
        </is>
      </c>
      <c r="AH123" s="42">
        <f>IF(ISBLANK(AE123),"","&lt;/b&gt;")</f>
        <v/>
      </c>
      <c r="AI123" s="42" t="inlineStr">
        <is>
          <t>03/02: Senate Vote 18-17&lt;br&gt;02/06: FY26 holdback (-4%)</t>
        </is>
      </c>
      <c r="AJ123" s="42">
        <f>IF(ISBLANK(AI123),"","&lt;br&gt;"&amp;AI123)</f>
        <v/>
      </c>
      <c r="AK123" s="4" t="inlineStr">
        <is>
          <t>&lt;br&gt;</t>
        </is>
      </c>
      <c r="AL123" s="42" t="inlineStr">
        <is>
          <t>&lt;b&gt;&lt;i&gt;</t>
        </is>
      </c>
      <c r="AM123" s="42" t="inlineStr">
        <is>
          <t>Governor's 3% + JFAC's 1%</t>
        </is>
      </c>
      <c r="AN123" s="42">
        <f>IF(ISBLANK(AM123),"","&lt;/i&gt;")</f>
        <v/>
      </c>
      <c r="AO123" s="35">
        <f>IF(ISBLANK(AQ123),"","&lt;/b&gt;&lt;br&gt;&lt;br&gt;")</f>
        <v/>
      </c>
      <c r="AP123" s="42">
        <f>IF(ISBLANK(AQ123),"","&lt;b&gt;")</f>
        <v/>
      </c>
      <c r="AQ123" s="47" t="inlineStr">
        <is>
          <t xml:space="preserve">Agency Reduction Plan:&lt;br&gt;Additional </t>
        </is>
      </c>
      <c r="AR123" s="42" t="inlineStr">
        <is>
          <t>1</t>
        </is>
      </c>
      <c r="AS123" s="4">
        <f>IF(ISBLANK(AR123),""," %")</f>
        <v/>
      </c>
      <c r="AT123" s="4">
        <f t="array" ref="AT123">_xlfn.IFS(NOT(ISBLANK(AU123))," (pgs. ",NOT(ISBLANK(AS123))," (pg. ", ISBLANK(AS123), "")</f>
        <v/>
      </c>
      <c r="AU123" s="52" t="n">
        <v>3</v>
      </c>
      <c r="AV123" s="4">
        <f>IF(ISBLANK(AW123),"",", ")</f>
        <v/>
      </c>
      <c r="AW123" s="42" t="n"/>
      <c r="AX123" s="4">
        <f>IF(ISBLANK(AY123),"",",&lt;br&gt;")</f>
        <v/>
      </c>
      <c r="AY123" s="42" t="n"/>
      <c r="AZ123" s="49">
        <f>IF(ISBLANK(AU123),"",")&lt;/b&gt;")</f>
        <v/>
      </c>
      <c r="BA123" s="4">
        <f>IF(ISBLANK(BC123),"","&lt;br&gt;")</f>
        <v/>
      </c>
      <c r="BB123" s="42">
        <f t="array" ref="BB123">IF(ISBLANK(BC123),"",_xlfn.LET(
_xlpm.words,_xlfn.TEXTSPLIT(TRIM(BC123),"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23" s="50" t="inlineStr">
        <is>
          <t>We will suspend start dates for mission critical positions currently in offer negotiations.</t>
        </is>
      </c>
    </row>
    <row r="124">
      <c r="A124" s="20">
        <f>_xlfn.TEXTJOIN("", TRUE, F124:H124)</f>
        <v/>
      </c>
      <c r="B124" s="21">
        <f>_xlfn.TEXTJOIN("", TRUE, I124:S124)</f>
        <v/>
      </c>
      <c r="C124" s="21">
        <f>IF(ISBLANK(X124),"", _xlfn.TEXTJOIN("",TRUE,T124:Z124))</f>
        <v/>
      </c>
      <c r="D124" s="21">
        <f>IF(ISBLANK(AB124), "", _xlfn.TEXTJOIN("", TRUE, AA124:AC124))</f>
        <v/>
      </c>
      <c r="E124" s="22">
        <f>IF(AU124="NA", _xlfn.TEXTJOIN("", TRUE, AD124:AH124), _xlfn.TEXTJOIN("", TRUE, AD124:AJ124))</f>
        <v/>
      </c>
      <c r="F124" s="42">
        <f>IF(LEFT(G124,4)="FY26","&lt;b&gt;","&lt;i&gt;")</f>
        <v/>
      </c>
      <c r="G124" s="42" t="inlineStr">
        <is>
          <t>FY26 Reduction</t>
        </is>
      </c>
      <c r="H124" s="42">
        <f>IF(LEFT(G124,4)="FY26","&lt;/b&gt;","&lt;/i&gt;")</f>
        <v/>
      </c>
      <c r="I124" s="43" t="inlineStr">
        <is>
          <t>&lt;i&gt;</t>
        </is>
      </c>
      <c r="J124" s="44" t="inlineStr">
        <is>
          <t>State Board of Education</t>
        </is>
      </c>
      <c r="K124" s="44" t="inlineStr">
        <is>
          <t>&lt;/i&gt;</t>
        </is>
      </c>
      <c r="L124" s="4">
        <f>IF(ISBLANK(N124),"","&lt;br&gt;")</f>
        <v/>
      </c>
      <c r="M124" s="42">
        <f>IF(ISBLANK(R124),"&lt;b&gt;","&lt;i&gt;")</f>
        <v/>
      </c>
      <c r="N124" s="42" t="inlineStr">
        <is>
          <t>Career Technical Education</t>
        </is>
      </c>
      <c r="O124" s="42">
        <f>IF(ISBLANK(R124),"&lt;/b&gt;","&lt;/i&gt;")</f>
        <v/>
      </c>
      <c r="P124" s="4">
        <f>IF(ISBLANK(R124),"","&lt;br&gt;")</f>
        <v/>
      </c>
      <c r="Q124" s="42">
        <f>IF(ISBLANK(R124),"","&lt;b&gt;")</f>
        <v/>
      </c>
      <c r="R124" s="42" t="n"/>
      <c r="S124" s="42">
        <f>IF(ISBLANK(R124),"","&lt;/i&gt;")</f>
        <v/>
      </c>
      <c r="T124" s="43">
        <f>IF(ISBLANK(X124),"",IF(OR(AB124="PASSED",ISBLANK(N124)),"&lt;b&gt;","&lt;i&gt;"))</f>
        <v/>
      </c>
      <c r="U124" s="3">
        <f>IF(ISBLANK(V124),"","&lt;a href='")</f>
        <v/>
      </c>
      <c r="V124" s="39" t="inlineStr">
        <is>
          <t>https://legislature.idaho.gov/sessioninfo/2026/legislation/S1331/</t>
        </is>
      </c>
      <c r="W124" s="17">
        <f>IF(ISBLANK(V124),"","'&gt;")</f>
        <v/>
      </c>
      <c r="X124" s="12" t="inlineStr">
        <is>
          <t>Senate Bill 1331</t>
        </is>
      </c>
      <c r="Y124" s="17">
        <f>IF(ISBLANK(X124),"","&lt;/a&gt;")</f>
        <v/>
      </c>
      <c r="Z124" s="42">
        <f>IF(ISBLANK(X124),"",IF(OR(AB124="PASSED",ISBLANK(N124)),"&lt;/b&gt;","&lt;/i&gt;"))</f>
        <v/>
      </c>
      <c r="AA124" s="43">
        <f>IF(AB124="PASSED","&lt;b&gt;","")</f>
        <v/>
      </c>
      <c r="AB124" s="45" t="inlineStr">
        <is>
          <t>PASSED</t>
        </is>
      </c>
      <c r="AC124" s="43">
        <f>IF(AB124="PASSED","&lt;/b&gt;","")</f>
        <v/>
      </c>
      <c r="AD124" s="43">
        <f>IF(ISBLANK(AE124),"","&lt;b&gt;")</f>
        <v/>
      </c>
      <c r="AE124" s="51" t="inlineStr">
        <is>
          <t>03/06</t>
        </is>
      </c>
      <c r="AF124" s="42">
        <f>IF(ISBLANK(AE124),"",": ")</f>
        <v/>
      </c>
      <c r="AG124" s="42" t="inlineStr">
        <is>
          <t>House Vote 48-22</t>
        </is>
      </c>
      <c r="AH124" s="42">
        <f>IF(ISBLANK(AE124),"","&lt;/b&gt;")</f>
        <v/>
      </c>
      <c r="AI124" s="42" t="inlineStr">
        <is>
          <t>03/02: Senate Vote 18-17&lt;br&gt;02/06: FY26 holdback (-4%)</t>
        </is>
      </c>
      <c r="AJ124" s="42">
        <f>IF(ISBLANK(AI124),"","&lt;br&gt;"&amp;AI124)</f>
        <v/>
      </c>
      <c r="AK124" s="4" t="inlineStr">
        <is>
          <t>&lt;br&gt;</t>
        </is>
      </c>
      <c r="AL124" s="42" t="inlineStr">
        <is>
          <t>&lt;b&gt;&lt;i&gt;</t>
        </is>
      </c>
      <c r="AM124" s="42" t="inlineStr">
        <is>
          <t>Governor's 3% + JFAC's 1%</t>
        </is>
      </c>
      <c r="AN124" s="42">
        <f>IF(ISBLANK(AM124),"","&lt;/i&gt;")</f>
        <v/>
      </c>
      <c r="AO124" s="35">
        <f>IF(ISBLANK(AQ124),"","&lt;/b&gt;&lt;br&gt;&lt;br&gt;")</f>
        <v/>
      </c>
      <c r="AP124" s="42">
        <f>IF(ISBLANK(AQ124),"","&lt;b&gt;")</f>
        <v/>
      </c>
      <c r="AQ124" s="47" t="inlineStr">
        <is>
          <t xml:space="preserve">Agency Reduction Plan:&lt;br&gt;Additional </t>
        </is>
      </c>
      <c r="AR124" s="42" t="inlineStr">
        <is>
          <t>1</t>
        </is>
      </c>
      <c r="AS124" s="4">
        <f>IF(ISBLANK(AR124),""," %")</f>
        <v/>
      </c>
      <c r="AT124" s="4">
        <f t="array" ref="AT124">_xlfn.IFS(NOT(ISBLANK(AU124))," (pgs. ",NOT(ISBLANK(AS124))," (pg. ", ISBLANK(AS124), "")</f>
        <v/>
      </c>
      <c r="AU124" s="52" t="n">
        <v>56</v>
      </c>
      <c r="AV124" s="4">
        <f>IF(ISBLANK(AW124),"",", ")</f>
        <v/>
      </c>
      <c r="AW124" s="42" t="n"/>
      <c r="AX124" s="4">
        <f>IF(ISBLANK(AY124),"",",&lt;br&gt;")</f>
        <v/>
      </c>
      <c r="AY124" s="42" t="n"/>
      <c r="AZ124" s="49">
        <f>IF(ISBLANK(AU124),"",")&lt;/b&gt;")</f>
        <v/>
      </c>
      <c r="BA124" s="4">
        <f>IF(ISBLANK(BC124),"","&lt;br&gt;")</f>
        <v/>
      </c>
      <c r="BB124" s="42">
        <f t="array" ref="BB124">IF(ISBLANK(BC124),"",_xlfn.LET(
_xlpm.words,_xlfn.TEXTSPLIT(TRIM(BC124),"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24" s="50" t="inlineStr">
        <is>
          <t>Agency Operations: One-time reduction in personnel costs due to hiring freeze and salary savings. One-time reduction to personnel costs due to hiring freeze for dedicated secondary support. One-time reduction in staff dedicated to CTE Educator support. Secondary Programs: Funding distributed to directly support approved CTE programs. Postsecondary Programs: Funding distributed to technical colleges to support CTE operational costs and in-demand CTE program expansion. CTE Educator Services: Funding used for new CTE educators to complete CTE Educator Preparation programs.</t>
        </is>
      </c>
    </row>
    <row r="125">
      <c r="A125" s="20">
        <f>_xlfn.TEXTJOIN("", TRUE, F125:H125)</f>
        <v/>
      </c>
      <c r="B125" s="21">
        <f>_xlfn.TEXTJOIN("", TRUE, I125:S125)</f>
        <v/>
      </c>
      <c r="C125" s="21">
        <f>IF(ISBLANK(X125),"", _xlfn.TEXTJOIN("",TRUE,T125:Z125))</f>
        <v/>
      </c>
      <c r="D125" s="21">
        <f>IF(ISBLANK(AB125), "", _xlfn.TEXTJOIN("", TRUE, AA125:AC125))</f>
        <v/>
      </c>
      <c r="E125" s="22">
        <f>IF(AU125="NA", _xlfn.TEXTJOIN("", TRUE, AD125:AH125), _xlfn.TEXTJOIN("", TRUE, AD125:AJ125))</f>
        <v/>
      </c>
      <c r="F125" s="42">
        <f>IF(LEFT(G125,4)="FY26","&lt;b&gt;","&lt;i&gt;")</f>
        <v/>
      </c>
      <c r="G125" s="42" t="inlineStr">
        <is>
          <t>FY26 Reduction</t>
        </is>
      </c>
      <c r="H125" s="42">
        <f>IF(LEFT(G125,4)="FY26","&lt;/b&gt;","&lt;/i&gt;")</f>
        <v/>
      </c>
      <c r="I125" s="43" t="inlineStr">
        <is>
          <t>&lt;i&gt;</t>
        </is>
      </c>
      <c r="J125" s="44" t="inlineStr">
        <is>
          <t>State Board of Education</t>
        </is>
      </c>
      <c r="K125" s="44" t="inlineStr">
        <is>
          <t>&lt;/i&gt;</t>
        </is>
      </c>
      <c r="L125" s="4">
        <f>IF(ISBLANK(N125),"","&lt;br&gt;")</f>
        <v/>
      </c>
      <c r="M125" s="42">
        <f>IF(ISBLANK(R125),"&lt;b&gt;","&lt;i&gt;")</f>
        <v/>
      </c>
      <c r="N125" s="42" t="inlineStr">
        <is>
          <t>Charter School Comm.</t>
        </is>
      </c>
      <c r="O125" s="42">
        <f>IF(ISBLANK(R125),"&lt;/b&gt;","&lt;/i&gt;")</f>
        <v/>
      </c>
      <c r="P125" s="4">
        <f>IF(ISBLANK(R125),"","&lt;br&gt;")</f>
        <v/>
      </c>
      <c r="Q125" s="42">
        <f>IF(ISBLANK(R125),"","&lt;b&gt;")</f>
        <v/>
      </c>
      <c r="R125" s="42" t="n"/>
      <c r="S125" s="42">
        <f>IF(ISBLANK(R125),"","&lt;/i&gt;")</f>
        <v/>
      </c>
      <c r="T125" s="43">
        <f>IF(ISBLANK(X125),"",IF(OR(AB125="PASSED",ISBLANK(N125)),"&lt;b&gt;","&lt;i&gt;"))</f>
        <v/>
      </c>
      <c r="U125" s="3">
        <f>IF(ISBLANK(V125),"","&lt;a href='")</f>
        <v/>
      </c>
      <c r="V125" s="39" t="inlineStr">
        <is>
          <t>https://legislature.idaho.gov/sessioninfo/2026/legislation/S1331/</t>
        </is>
      </c>
      <c r="W125" s="17">
        <f>IF(ISBLANK(V125),"","'&gt;")</f>
        <v/>
      </c>
      <c r="X125" s="12" t="inlineStr">
        <is>
          <t>Senate Bill 1331</t>
        </is>
      </c>
      <c r="Y125" s="17">
        <f>IF(ISBLANK(X125),"","&lt;/a&gt;")</f>
        <v/>
      </c>
      <c r="Z125" s="42">
        <f>IF(ISBLANK(X125),"",IF(OR(AB125="PASSED",ISBLANK(N125)),"&lt;/b&gt;","&lt;/i&gt;"))</f>
        <v/>
      </c>
      <c r="AA125" s="43">
        <f>IF(AB125="PASSED","&lt;b&gt;","")</f>
        <v/>
      </c>
      <c r="AB125" s="45" t="inlineStr">
        <is>
          <t>PASSED</t>
        </is>
      </c>
      <c r="AC125" s="43">
        <f>IF(AB125="PASSED","&lt;/b&gt;","")</f>
        <v/>
      </c>
      <c r="AD125" s="43">
        <f>IF(ISBLANK(AE125),"","&lt;b&gt;")</f>
        <v/>
      </c>
      <c r="AE125" s="51" t="inlineStr">
        <is>
          <t>03/06</t>
        </is>
      </c>
      <c r="AF125" s="42">
        <f>IF(ISBLANK(AE125),"",": ")</f>
        <v/>
      </c>
      <c r="AG125" s="42" t="inlineStr">
        <is>
          <t>House Vote 48-22</t>
        </is>
      </c>
      <c r="AH125" s="42">
        <f>IF(ISBLANK(AE125),"","&lt;/b&gt;")</f>
        <v/>
      </c>
      <c r="AI125" s="42" t="inlineStr">
        <is>
          <t>03/02: Senate Vote 18-17&lt;br&gt;02/06: FY26 holdback (-4%)</t>
        </is>
      </c>
      <c r="AJ125" s="42">
        <f>IF(ISBLANK(AI125),"","&lt;br&gt;"&amp;AI125)</f>
        <v/>
      </c>
      <c r="AK125" s="4" t="inlineStr">
        <is>
          <t>&lt;br&gt;</t>
        </is>
      </c>
      <c r="AL125" s="42" t="inlineStr">
        <is>
          <t>&lt;b&gt;&lt;i&gt;</t>
        </is>
      </c>
      <c r="AM125" s="42" t="inlineStr">
        <is>
          <t>Governor's 3% + JFAC's 1%</t>
        </is>
      </c>
      <c r="AN125" s="42">
        <f>IF(ISBLANK(AM125),"","&lt;/i&gt;")</f>
        <v/>
      </c>
      <c r="AO125" s="35">
        <f>IF(ISBLANK(AQ125),"","&lt;/b&gt;&lt;br&gt;&lt;br&gt;")</f>
        <v/>
      </c>
      <c r="AP125" s="42">
        <f>IF(ISBLANK(AQ125),"","&lt;b&gt;")</f>
        <v/>
      </c>
      <c r="AQ125" s="47" t="inlineStr">
        <is>
          <t xml:space="preserve">Agency Reduction Plan:&lt;br&gt;Additional </t>
        </is>
      </c>
      <c r="AR125" s="42" t="inlineStr">
        <is>
          <t>1</t>
        </is>
      </c>
      <c r="AS125" s="4">
        <f>IF(ISBLANK(AR125),""," %")</f>
        <v/>
      </c>
      <c r="AT125" s="4">
        <f t="array" ref="AT125">_xlfn.IFS(NOT(ISBLANK(AU125))," (pgs. ",NOT(ISBLANK(AS125))," (pg. ", ISBLANK(AS125), "")</f>
        <v/>
      </c>
      <c r="AU125" s="52" t="n">
        <v>81</v>
      </c>
      <c r="AV125" s="4">
        <f>IF(ISBLANK(AW125),"",", ")</f>
        <v/>
      </c>
      <c r="AW125" s="42" t="n"/>
      <c r="AX125" s="4">
        <f>IF(ISBLANK(AY125),"",",&lt;br&gt;")</f>
        <v/>
      </c>
      <c r="AY125" s="42" t="n"/>
      <c r="AZ125" s="49">
        <f>IF(ISBLANK(AU125),"",")&lt;/b&gt;")</f>
        <v/>
      </c>
      <c r="BA125" s="4">
        <f>IF(ISBLANK(BC125),"","&lt;br&gt;")</f>
        <v/>
      </c>
      <c r="BB125" s="42">
        <f t="array" ref="BB125">IF(ISBLANK(BC125),"",_xlfn.LET(
_xlpm.words,_xlfn.TEXTSPLIT(TRIM(BC125),"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25" s="50" t="inlineStr">
        <is>
          <t>The proposed reduction will be absorbed within the Travel category based on year-to-date expenditure trends, which indicate travel spending is currently below projected levels for this point in the fiscal year. While travel costs are inherently variable and difficult to predict, the current spending position provides an opportunity to meet the required reduction. This adjustment will place additional constraints on operational flexibility and will require careful management for the remainder of the fiscal year. As a result, the Commission will significantly limit travel and apply heightened scrutiny to all travel requests, prioritizing only those that are essential to statutory oversight and compliance functions. Greater reliance on virtual meetings and remote engagement will be necessary to maintain operations, which prevents in-person activities to allow the Commission to continue fulfilling its responsibilities within the revised budget.</t>
        </is>
      </c>
    </row>
    <row r="126">
      <c r="A126" s="20">
        <f>_xlfn.TEXTJOIN("", TRUE, F126:H126)</f>
        <v/>
      </c>
      <c r="B126" s="21">
        <f>_xlfn.TEXTJOIN("", TRUE, I126:S126)</f>
        <v/>
      </c>
      <c r="C126" s="21">
        <f>IF(ISBLANK(X126),"", _xlfn.TEXTJOIN("",TRUE,T126:Z126))</f>
        <v/>
      </c>
      <c r="D126" s="21">
        <f>IF(ISBLANK(AB126), "", _xlfn.TEXTJOIN("", TRUE, AA126:AC126))</f>
        <v/>
      </c>
      <c r="E126" s="22">
        <f>IF(AU126="NA", _xlfn.TEXTJOIN("", TRUE, AD126:AH126), _xlfn.TEXTJOIN("", TRUE, AD126:AJ126))</f>
        <v/>
      </c>
      <c r="F126" s="42">
        <f>IF(LEFT(G126,4)="FY26","&lt;b&gt;","&lt;i&gt;")</f>
        <v/>
      </c>
      <c r="G126" s="42" t="inlineStr">
        <is>
          <t>FY26 Reduction</t>
        </is>
      </c>
      <c r="H126" s="42">
        <f>IF(LEFT(G126,4)="FY26","&lt;/b&gt;","&lt;/i&gt;")</f>
        <v/>
      </c>
      <c r="I126" s="43" t="inlineStr">
        <is>
          <t>&lt;i&gt;</t>
        </is>
      </c>
      <c r="J126" s="44" t="inlineStr">
        <is>
          <t>State Board of Education</t>
        </is>
      </c>
      <c r="K126" s="44" t="inlineStr">
        <is>
          <t>&lt;/i&gt;</t>
        </is>
      </c>
      <c r="L126" s="4">
        <f>IF(ISBLANK(N126),"","&lt;br&gt;")</f>
        <v/>
      </c>
      <c r="M126" s="42">
        <f>IF(ISBLANK(R126),"&lt;b&gt;","&lt;i&gt;")</f>
        <v/>
      </c>
      <c r="N126" s="42" t="inlineStr">
        <is>
          <t>College &amp; Universities</t>
        </is>
      </c>
      <c r="O126" s="42">
        <f>IF(ISBLANK(R126),"&lt;/b&gt;","&lt;/i&gt;")</f>
        <v/>
      </c>
      <c r="P126" s="4">
        <f>IF(ISBLANK(R126),"","&lt;br&gt;")</f>
        <v/>
      </c>
      <c r="Q126" s="42">
        <f>IF(ISBLANK(R126),"","&lt;b&gt;")</f>
        <v/>
      </c>
      <c r="R126" s="42" t="n"/>
      <c r="S126" s="42">
        <f>IF(ISBLANK(R126),"","&lt;/i&gt;")</f>
        <v/>
      </c>
      <c r="T126" s="43">
        <f>IF(ISBLANK(X126),"",IF(OR(AB126="PASSED",ISBLANK(N126)),"&lt;b&gt;","&lt;i&gt;"))</f>
        <v/>
      </c>
      <c r="U126" s="3">
        <f>IF(ISBLANK(V126),"","&lt;a href='")</f>
        <v/>
      </c>
      <c r="V126" s="39" t="inlineStr">
        <is>
          <t>https://legislature.idaho.gov/sessioninfo/2026/legislation/S1331/</t>
        </is>
      </c>
      <c r="W126" s="17">
        <f>IF(ISBLANK(V126),"","'&gt;")</f>
        <v/>
      </c>
      <c r="X126" s="12" t="inlineStr">
        <is>
          <t>Senate Bill 1331</t>
        </is>
      </c>
      <c r="Y126" s="17">
        <f>IF(ISBLANK(X126),"","&lt;/a&gt;")</f>
        <v/>
      </c>
      <c r="Z126" s="42">
        <f>IF(ISBLANK(X126),"",IF(OR(AB126="PASSED",ISBLANK(N126)),"&lt;/b&gt;","&lt;/i&gt;"))</f>
        <v/>
      </c>
      <c r="AA126" s="43">
        <f>IF(AB126="PASSED","&lt;b&gt;","")</f>
        <v/>
      </c>
      <c r="AB126" s="45" t="inlineStr">
        <is>
          <t>PASSED</t>
        </is>
      </c>
      <c r="AC126" s="43">
        <f>IF(AB126="PASSED","&lt;/b&gt;","")</f>
        <v/>
      </c>
      <c r="AD126" s="43">
        <f>IF(ISBLANK(AE126),"","&lt;b&gt;")</f>
        <v/>
      </c>
      <c r="AE126" s="51" t="inlineStr">
        <is>
          <t>03/06</t>
        </is>
      </c>
      <c r="AF126" s="42">
        <f>IF(ISBLANK(AE126),"",": ")</f>
        <v/>
      </c>
      <c r="AG126" s="42" t="inlineStr">
        <is>
          <t>House Vote 48-22</t>
        </is>
      </c>
      <c r="AH126" s="42">
        <f>IF(ISBLANK(AE126),"","&lt;/b&gt;")</f>
        <v/>
      </c>
      <c r="AI126" s="42" t="inlineStr">
        <is>
          <t>03/02: Senate Vote 18-17&lt;br&gt;02/06: FY26 holdback (-4%)</t>
        </is>
      </c>
      <c r="AJ126" s="42">
        <f>IF(ISBLANK(AI126),"","&lt;br&gt;"&amp;AI126)</f>
        <v/>
      </c>
      <c r="AK126" s="4" t="inlineStr">
        <is>
          <t>&lt;br&gt;</t>
        </is>
      </c>
      <c r="AL126" s="42" t="inlineStr">
        <is>
          <t>&lt;b&gt;&lt;i&gt;</t>
        </is>
      </c>
      <c r="AM126" s="42" t="inlineStr">
        <is>
          <t>Governor's 3% + JFAC's 1%</t>
        </is>
      </c>
      <c r="AN126" s="42">
        <f>IF(ISBLANK(AM126),"","&lt;/i&gt;")</f>
        <v/>
      </c>
      <c r="AO126" s="35">
        <f>IF(ISBLANK(AQ126),"","&lt;/b&gt;&lt;br&gt;&lt;br&gt;")</f>
        <v/>
      </c>
      <c r="AP126" s="42">
        <f>IF(ISBLANK(AQ126),"","&lt;b&gt;")</f>
        <v/>
      </c>
      <c r="AQ126" s="47" t="inlineStr">
        <is>
          <t xml:space="preserve">Agency Reduction Plan:&lt;br&gt;Additional </t>
        </is>
      </c>
      <c r="AR126" s="42" t="inlineStr">
        <is>
          <t>1</t>
        </is>
      </c>
      <c r="AS126" s="4">
        <f>IF(ISBLANK(AR126),""," %")</f>
        <v/>
      </c>
      <c r="AT126" s="4">
        <f t="array" ref="AT126">_xlfn.IFS(NOT(ISBLANK(AU126))," (pgs. ",NOT(ISBLANK(AS126))," (pg. ", ISBLANK(AS126), "")</f>
        <v/>
      </c>
      <c r="AU126" s="52" t="n">
        <v>5</v>
      </c>
      <c r="AV126" s="4">
        <f>IF(ISBLANK(AW126),"",", ")</f>
        <v/>
      </c>
      <c r="AW126" s="53" t="n">
        <v>9</v>
      </c>
      <c r="AX126" s="4">
        <f>IF(ISBLANK(AY126),"",",&lt;br&gt;")</f>
        <v/>
      </c>
      <c r="AY126" s="53" t="inlineStr">
        <is>
          <t>11, 13</t>
        </is>
      </c>
      <c r="AZ126" s="49">
        <f>IF(ISBLANK(AU126),"",")&lt;/b&gt;")</f>
        <v/>
      </c>
      <c r="BA126" s="4">
        <f>IF(ISBLANK(BC126),"","&lt;br&gt;")</f>
        <v/>
      </c>
      <c r="BB126" s="42">
        <f t="array" ref="BB126">IF(ISBLANK(BC126),"",_xlfn.LET(
_xlpm.words,_xlfn.TEXTSPLIT(TRIM(BC126),"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26" s="50" t="inlineStr">
        <is>
          <t>&lt;b&gt;Boise State University:&lt;/b&gt; Academic Affairs, Student Affairs, and Research: Due to the proposed cuts requested seven months into the fiscal year, the additional FY26 budget reduction for one-time funds will primarily come from Boise State’s salary savings and reserves for operating expenses, if a project has not yet begun. Since faculty hiring follows the academic year and faculty are already contracted for the spring semester, actively teaching students, there are limited salary savings available from administrative positions that will not expend a full year of salary. Reductions in funding will require cuts to strategic funds allocated to develop new online programs and courses to address industry needs and support Idaho's workforce. Boise State has 4,519 students enrolled in fully online programs in Spring 2026, an increase of 23.3% from five years ago. Of the more than 22,000 students enrolled in classes in Spring 2026, more than 65% (14,453) take at least one online course, given the flexibility these courses provide to working students and those with families. Without funds to launch new courses online, any new offerings will be delayed. Institutional Administration: Boise State will delay training funds, computer purchases, and other operating expenses if those are not fully committed. Delays in training for positions such as IT employees can affect the university’s ability to fully implement and operate new systems. The university will also reduce outreach to other universities, a strategy that has proven to increase student enrollment and successful faculty recruiting. Athletics: Boise State will delay a key hire to save salary in FY 26.&lt;b&gt;Idaho State University&lt;/b&gt;: Mandatory Furlough Program for contracted employees. This impacts all programs and services across the University. This will impact all contracted employees earning more than $60,000 annually through mandatory furlough days and reduction in pay. We will defer some planned capital expenditures on deferred and major maintenance.&lt;b&gt;Lewis-Clark State College&lt;/b&gt;: These are HERC funds received from OSBE that will need to be returned for FY2026. Funding supports library resources and undergraduate STEM research opportunities. LC State has one-time salary savings generated during FY2026 due to multiple mid-year retirements, but these funds will not be available in FY2027.&lt;b&gt;University of Idaho&lt;/b&gt;: Newer academic programs that are not yet fully operational will experience disproportionate impacts, including mining and other emerging offerings. Student-to-faculty ratios will increase as staffing reductions constrain instructional capacity. Student services will be reduced, affecting advising, academic support, retentionrelated functions, and persistence towards degree completion. The university absorbed substantial reductions in prior years to right-size operations, significantly limiting remaining capacity to absorb additional ongoing cuts. Budget actions will require staffing reductions, resulting in diminished operational capacity. Replacement of instructional and research equipment will be deferred or foregone, limiting classroom quality, instructional delivery, and research productivity. Undergraduate research opportunities will be reduced, limiting experiential learning and pipeline development for graduate study and the workforce. The university’s ability to fully meet expanding state compliance, reporting, and oversight requirements will be strained, increasing institutional risk and requiring prioritization among mandated functions.</t>
        </is>
      </c>
    </row>
    <row r="127">
      <c r="A127" s="20">
        <f>_xlfn.TEXTJOIN("", TRUE, F127:H127)</f>
        <v/>
      </c>
      <c r="B127" s="21">
        <f>_xlfn.TEXTJOIN("", TRUE, I127:S127)</f>
        <v/>
      </c>
      <c r="C127" s="21">
        <f>IF(ISBLANK(X127),"", _xlfn.TEXTJOIN("",TRUE,T127:Z127))</f>
        <v/>
      </c>
      <c r="D127" s="21">
        <f>IF(ISBLANK(AB127), "", _xlfn.TEXTJOIN("", TRUE, AA127:AC127))</f>
        <v/>
      </c>
      <c r="E127" s="22">
        <f>IF(AU127="NA", _xlfn.TEXTJOIN("", TRUE, AD127:AH127), _xlfn.TEXTJOIN("", TRUE, AD127:AJ127))</f>
        <v/>
      </c>
      <c r="F127" s="42">
        <f>IF(LEFT(G127,4)="FY26","&lt;b&gt;","&lt;i&gt;")</f>
        <v/>
      </c>
      <c r="G127" s="42" t="inlineStr">
        <is>
          <t>FY26 Reduction</t>
        </is>
      </c>
      <c r="H127" s="42">
        <f>IF(LEFT(G127,4)="FY26","&lt;/b&gt;","&lt;/i&gt;")</f>
        <v/>
      </c>
      <c r="I127" s="43" t="inlineStr">
        <is>
          <t>&lt;i&gt;</t>
        </is>
      </c>
      <c r="J127" s="44" t="inlineStr">
        <is>
          <t>State Board of Education</t>
        </is>
      </c>
      <c r="K127" s="44" t="inlineStr">
        <is>
          <t>&lt;/i&gt;</t>
        </is>
      </c>
      <c r="L127" s="4">
        <f>IF(ISBLANK(N127),"","&lt;br&gt;")</f>
        <v/>
      </c>
      <c r="M127" s="42">
        <f>IF(ISBLANK(R127),"&lt;b&gt;","&lt;i&gt;")</f>
        <v/>
      </c>
      <c r="N127" s="42" t="inlineStr">
        <is>
          <t>Community Colleges</t>
        </is>
      </c>
      <c r="O127" s="42">
        <f>IF(ISBLANK(R127),"&lt;/b&gt;","&lt;/i&gt;")</f>
        <v/>
      </c>
      <c r="P127" s="4">
        <f>IF(ISBLANK(R127),"","&lt;br&gt;")</f>
        <v/>
      </c>
      <c r="Q127" s="42">
        <f>IF(ISBLANK(R127),"","&lt;b&gt;")</f>
        <v/>
      </c>
      <c r="R127" s="42" t="n"/>
      <c r="S127" s="42">
        <f>IF(ISBLANK(R127),"","&lt;/i&gt;")</f>
        <v/>
      </c>
      <c r="T127" s="43">
        <f>IF(ISBLANK(X127),"",IF(OR(AB127="PASSED",ISBLANK(N127)),"&lt;b&gt;","&lt;i&gt;"))</f>
        <v/>
      </c>
      <c r="U127" s="3">
        <f>IF(ISBLANK(V127),"","&lt;a href='")</f>
        <v/>
      </c>
      <c r="V127" s="39" t="inlineStr">
        <is>
          <t>https://legislature.idaho.gov/sessioninfo/2026/legislation/S1331/</t>
        </is>
      </c>
      <c r="W127" s="17">
        <f>IF(ISBLANK(V127),"","'&gt;")</f>
        <v/>
      </c>
      <c r="X127" s="12" t="inlineStr">
        <is>
          <t>Senate Bill 1331</t>
        </is>
      </c>
      <c r="Y127" s="17">
        <f>IF(ISBLANK(X127),"","&lt;/a&gt;")</f>
        <v/>
      </c>
      <c r="Z127" s="42">
        <f>IF(ISBLANK(X127),"",IF(OR(AB127="PASSED",ISBLANK(N127)),"&lt;/b&gt;","&lt;/i&gt;"))</f>
        <v/>
      </c>
      <c r="AA127" s="43">
        <f>IF(AB127="PASSED","&lt;b&gt;","")</f>
        <v/>
      </c>
      <c r="AB127" s="45" t="inlineStr">
        <is>
          <t>PASSED</t>
        </is>
      </c>
      <c r="AC127" s="43">
        <f>IF(AB127="PASSED","&lt;/b&gt;","")</f>
        <v/>
      </c>
      <c r="AD127" s="43">
        <f>IF(ISBLANK(AE127),"","&lt;b&gt;")</f>
        <v/>
      </c>
      <c r="AE127" s="51" t="inlineStr">
        <is>
          <t>03/06</t>
        </is>
      </c>
      <c r="AF127" s="42">
        <f>IF(ISBLANK(AE127),"",": ")</f>
        <v/>
      </c>
      <c r="AG127" s="42" t="inlineStr">
        <is>
          <t>House Vote 48-22</t>
        </is>
      </c>
      <c r="AH127" s="42">
        <f>IF(ISBLANK(AE127),"","&lt;/b&gt;")</f>
        <v/>
      </c>
      <c r="AI127" s="42" t="inlineStr">
        <is>
          <t>03/02: Senate Vote 18-17&lt;br&gt;02/06: FY26 holdback (-4%)</t>
        </is>
      </c>
      <c r="AJ127" s="42">
        <f>IF(ISBLANK(AI127),"","&lt;br&gt;"&amp;AI127)</f>
        <v/>
      </c>
      <c r="AK127" s="4" t="inlineStr">
        <is>
          <t>&lt;br&gt;</t>
        </is>
      </c>
      <c r="AL127" s="42" t="inlineStr">
        <is>
          <t>&lt;b&gt;&lt;i&gt;</t>
        </is>
      </c>
      <c r="AM127" s="42" t="inlineStr">
        <is>
          <t>Governor's 3% + JFAC's 1%</t>
        </is>
      </c>
      <c r="AN127" s="42">
        <f>IF(ISBLANK(AM127),"","&lt;/i&gt;")</f>
        <v/>
      </c>
      <c r="AO127" s="35">
        <f>IF(ISBLANK(AQ127),"","&lt;/b&gt;&lt;br&gt;&lt;br&gt;")</f>
        <v/>
      </c>
      <c r="AP127" s="42">
        <f>IF(ISBLANK(AQ127),"","&lt;b&gt;")</f>
        <v/>
      </c>
      <c r="AQ127" s="47" t="inlineStr">
        <is>
          <t xml:space="preserve">Agency Reduction Plan:&lt;br&gt;Additional </t>
        </is>
      </c>
      <c r="AR127" s="42" t="inlineStr">
        <is>
          <t>1</t>
        </is>
      </c>
      <c r="AS127" s="4">
        <f>IF(ISBLANK(AR127),""," %")</f>
        <v/>
      </c>
      <c r="AT127" s="4">
        <f t="array" ref="AT127">_xlfn.IFS(NOT(ISBLANK(AU127))," (pgs. ",NOT(ISBLANK(AS127))," (pg. ", ISBLANK(AS127), "")</f>
        <v/>
      </c>
      <c r="AU127" s="52" t="n">
        <v>15</v>
      </c>
      <c r="AV127" s="4">
        <f>IF(ISBLANK(AW127),"",", ")</f>
        <v/>
      </c>
      <c r="AW127" s="53" t="n">
        <v>17</v>
      </c>
      <c r="AX127" s="4">
        <f>IF(ISBLANK(AY127),"",",&lt;br&gt;")</f>
        <v/>
      </c>
      <c r="AY127" s="53" t="inlineStr">
        <is>
          <t>19, 21</t>
        </is>
      </c>
      <c r="AZ127" s="49">
        <f>IF(ISBLANK(AU127),"",")&lt;/b&gt;")</f>
        <v/>
      </c>
      <c r="BA127" s="4">
        <f>IF(ISBLANK(BC127),"","&lt;br&gt;")</f>
        <v/>
      </c>
      <c r="BB127" s="42">
        <f t="array" ref="BB127">IF(ISBLANK(BC127),"",_xlfn.LET(
_xlpm.words,_xlfn.TEXTSPLIT(TRIM(BC127),"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27" s="50" t="inlineStr">
        <is>
          <t>&lt;b&gt;College of Eastern Idaho&lt;/b&gt;: Hiring freezes and position eliminations: Additional 1–2% reductions require freezing most vacant positions and eliminating 7 critical roles in instruction, student support, and student life—resulting in fewer course offerings, reduced student access, and delayed completion. Elimination of a mental health counselor with direct impact on student well being. Cutting a well established E-Sports team, which was a male recruitment tool (1 full time and 2 part time employees) and a very competitive team. Elimination of an administrative position in the trades division, which in turn shifts work to already overworked faculty. Elimination of a leadership position, shifting work to already overworked leadership team, risking employee burnout and painful attrition. Program contraction with long-term consequences: Continued reductions force contraction of high-demand academic programs, weakening CEI’s ability to meet regional workforce needs and ultimately increasing costs to the state through longer time-to-completion, unmet employer demand, and lost economic growth. Three programs we will contract: Licensed Practical Nurse (reduce cohort entry by half), Energy Systems (pause the AAS degree and reduce to an ITC (reduce by one faculty), contract Dental Assist (reduce by a half time faculty). All of these are high demand programs in our community.  &lt;b&gt;College of Southern Idaho&lt;/b&gt;: The loss of a faculty position in a key area of general education (communication) will create fewer scheduling options for students resulting in less flexibility and an additional barrier to completion across all programs of study. Ongoing budget reductions are significantly limiting CSI's ability to maintain the level of outreach and engagement required to support student access, recruitment, and retention across the region. Reduced funding will require us to scale back travel to local high schools and community partners, limit the number of outreach and enrollment events we can offer, and curtail essential supplies and advertising efforts that help students and families understand their educational options and navigate the enrollment process. These cutbacks will diminish CSI's visibility in the community, slow our recruitment pipeline for enrollment, and weaken the College’s capacity to connect Idaho students with the programs that support both their success and the state’s workforce needs. Furthermore, losing an additional percentage of operational monies at CSI will continue to have a direct negative impact on students by reducing key supply budgets in the instructional areas of biology, chemistry, and nursing (among others). Students may be asked to absorb some of those costs in order to successfully complete their programs of study. &lt;b&gt;College of Western Idaho&lt;/b&gt;: Freeze and/or eliminate open positions, delay new programs. Reduce operating expenditures, delay or slow projects and initiatives.  &lt;b&gt;North Idaho College&lt;/b&gt;: This reduction eliminates the ability to rehire and assistant coach in athletics. The loss of this position will directly affect the success, retention, and completion of our student-athletes, as coaching support is integral to their academic and competitive progress. Additionally, the reduction compromised commitments previously made to our students and conference partners, diminishing our capacity to meet expected program standards and obligations. This is the curtailment of travel and professional development for the duration of the fiscal year which includes, but is not limited to , reduced recruiting efforts, inability for staff and faculty to meet required licensure, training and accreditation expectations. The withholding of these resources exposes the institution to compliance risk and potential accreditation vulnerabilities.</t>
        </is>
      </c>
    </row>
    <row r="128">
      <c r="A128" s="20">
        <f>_xlfn.TEXTJOIN("", TRUE, F128:H128)</f>
        <v/>
      </c>
      <c r="B128" s="21">
        <f>_xlfn.TEXTJOIN("", TRUE, I128:S128)</f>
        <v/>
      </c>
      <c r="C128" s="21">
        <f>IF(ISBLANK(X128),"", _xlfn.TEXTJOIN("",TRUE,T128:Z128))</f>
        <v/>
      </c>
      <c r="D128" s="21">
        <f>IF(ISBLANK(AB128), "", _xlfn.TEXTJOIN("", TRUE, AA128:AC128))</f>
        <v/>
      </c>
      <c r="E128" s="22">
        <f>IF(AU128="NA", _xlfn.TEXTJOIN("", TRUE, AD128:AH128), _xlfn.TEXTJOIN("", TRUE, AD128:AJ128))</f>
        <v/>
      </c>
      <c r="F128" s="42">
        <f>IF(LEFT(G128,4)="FY26","&lt;b&gt;","&lt;i&gt;")</f>
        <v/>
      </c>
      <c r="G128" s="42" t="inlineStr">
        <is>
          <t>FY26 Reduction</t>
        </is>
      </c>
      <c r="H128" s="42">
        <f>IF(LEFT(G128,4)="FY26","&lt;/b&gt;","&lt;/i&gt;")</f>
        <v/>
      </c>
      <c r="I128" s="43" t="inlineStr">
        <is>
          <t>&lt;i&gt;</t>
        </is>
      </c>
      <c r="J128" s="44" t="inlineStr">
        <is>
          <t>State Board of Education</t>
        </is>
      </c>
      <c r="K128" s="44" t="inlineStr">
        <is>
          <t>&lt;/i&gt;</t>
        </is>
      </c>
      <c r="L128" s="4">
        <f>IF(ISBLANK(N128),"","&lt;br&gt;")</f>
        <v/>
      </c>
      <c r="M128" s="42">
        <f>IF(ISBLANK(R128),"&lt;b&gt;","&lt;i&gt;")</f>
        <v/>
      </c>
      <c r="N128" s="42" t="inlineStr">
        <is>
          <t>Dept. of Education</t>
        </is>
      </c>
      <c r="O128" s="42">
        <f>IF(ISBLANK(R128),"&lt;/b&gt;","&lt;/i&gt;")</f>
        <v/>
      </c>
      <c r="P128" s="4">
        <f>IF(ISBLANK(R128),"","&lt;br&gt;")</f>
        <v/>
      </c>
      <c r="Q128" s="42">
        <f>IF(ISBLANK(R128),"","&lt;b&gt;")</f>
        <v/>
      </c>
      <c r="R128" s="42" t="n"/>
      <c r="S128" s="42">
        <f>IF(ISBLANK(R128),"","&lt;/i&gt;")</f>
        <v/>
      </c>
      <c r="T128" s="43">
        <f>IF(ISBLANK(X128),"",IF(OR(AB128="PASSED",ISBLANK(N128)),"&lt;b&gt;","&lt;i&gt;"))</f>
        <v/>
      </c>
      <c r="U128" s="3">
        <f>IF(ISBLANK(V128),"","&lt;a href='")</f>
        <v/>
      </c>
      <c r="V128" s="39" t="inlineStr">
        <is>
          <t>https://legislature.idaho.gov/sessioninfo/2026/legislation/S1331/</t>
        </is>
      </c>
      <c r="W128" s="17">
        <f>IF(ISBLANK(V128),"","'&gt;")</f>
        <v/>
      </c>
      <c r="X128" s="12" t="inlineStr">
        <is>
          <t>Senate Bill 1331</t>
        </is>
      </c>
      <c r="Y128" s="17">
        <f>IF(ISBLANK(X128),"","&lt;/a&gt;")</f>
        <v/>
      </c>
      <c r="Z128" s="42">
        <f>IF(ISBLANK(X128),"",IF(OR(AB128="PASSED",ISBLANK(N128)),"&lt;/b&gt;","&lt;/i&gt;"))</f>
        <v/>
      </c>
      <c r="AA128" s="43">
        <f>IF(AB128="PASSED","&lt;b&gt;","")</f>
        <v/>
      </c>
      <c r="AB128" s="45" t="inlineStr">
        <is>
          <t>PASSED</t>
        </is>
      </c>
      <c r="AC128" s="43">
        <f>IF(AB128="PASSED","&lt;/b&gt;","")</f>
        <v/>
      </c>
      <c r="AD128" s="43">
        <f>IF(ISBLANK(AE128),"","&lt;b&gt;")</f>
        <v/>
      </c>
      <c r="AE128" s="51" t="inlineStr">
        <is>
          <t>03/06</t>
        </is>
      </c>
      <c r="AF128" s="42">
        <f>IF(ISBLANK(AE128),"",": ")</f>
        <v/>
      </c>
      <c r="AG128" s="42" t="inlineStr">
        <is>
          <t>House Vote 48-22</t>
        </is>
      </c>
      <c r="AH128" s="42">
        <f>IF(ISBLANK(AE128),"","&lt;/b&gt;")</f>
        <v/>
      </c>
      <c r="AI128" s="42" t="inlineStr">
        <is>
          <t>03/02: Senate Vote 18-17&lt;br&gt;02/06: FY26 holdback (-4%)</t>
        </is>
      </c>
      <c r="AJ128" s="42">
        <f>IF(ISBLANK(AI128),"","&lt;br&gt;"&amp;AI128)</f>
        <v/>
      </c>
      <c r="AK128" s="4" t="inlineStr">
        <is>
          <t>&lt;br&gt;</t>
        </is>
      </c>
      <c r="AL128" s="42" t="inlineStr">
        <is>
          <t>&lt;b&gt;&lt;i&gt;</t>
        </is>
      </c>
      <c r="AM128" s="42" t="inlineStr">
        <is>
          <t>Governor's 3% + JFAC's 1%</t>
        </is>
      </c>
      <c r="AN128" s="42">
        <f>IF(ISBLANK(AM128),"","&lt;/i&gt;")</f>
        <v/>
      </c>
      <c r="AO128" s="35">
        <f>IF(ISBLANK(AQ128),"","&lt;/b&gt;&lt;br&gt;&lt;br&gt;")</f>
        <v/>
      </c>
      <c r="AP128" s="42">
        <f>IF(ISBLANK(AQ128),"","&lt;b&gt;")</f>
        <v/>
      </c>
      <c r="AQ128" s="47" t="inlineStr">
        <is>
          <t xml:space="preserve">Agency Reduction Plan:&lt;br&gt;Additional </t>
        </is>
      </c>
      <c r="AR128" s="42" t="inlineStr">
        <is>
          <t>1</t>
        </is>
      </c>
      <c r="AS128" s="4">
        <f>IF(ISBLANK(AR128),""," %")</f>
        <v/>
      </c>
      <c r="AT128" s="4">
        <f t="array" ref="AT128">_xlfn.IFS(NOT(ISBLANK(AU128))," (pgs. ",NOT(ISBLANK(AS128))," (pg. ", ISBLANK(AS128), "")</f>
        <v/>
      </c>
      <c r="AU128" s="52" t="n">
        <v>77</v>
      </c>
      <c r="AV128" s="4">
        <f>IF(ISBLANK(AW128),"",", ")</f>
        <v/>
      </c>
      <c r="AW128" s="42" t="n"/>
      <c r="AX128" s="4">
        <f>IF(ISBLANK(AY128),"",",&lt;br&gt;")</f>
        <v/>
      </c>
      <c r="AY128" s="42" t="n"/>
      <c r="AZ128" s="49">
        <f>IF(ISBLANK(AU128),"",")&lt;/b&gt;")</f>
        <v/>
      </c>
      <c r="BA128" s="4">
        <f>IF(ISBLANK(BC128),"","&lt;br&gt;")</f>
        <v/>
      </c>
      <c r="BB128" s="42">
        <f t="array" ref="BB128">IF(ISBLANK(BC128),"",_xlfn.LET(
_xlpm.words,_xlfn.TEXTSPLIT(TRIM(BC128),"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28" s="50" t="inlineStr">
        <is>
          <t>If additional FY 2026 and FY 2027 cuts are necessary, we propose reducing funding for the Advanced Opportunities for Nonpublic School Students program (established in 2021) and eliminating funding for the Local Innovation School Act (established in 2016). These are passthrough funds to schools, and this approach will ensure that the department can continue its work without reducing support to Idaho’s districts and public charter schools.</t>
        </is>
      </c>
    </row>
    <row r="129">
      <c r="A129" s="20">
        <f>_xlfn.TEXTJOIN("", TRUE, F129:H129)</f>
        <v/>
      </c>
      <c r="B129" s="21">
        <f>_xlfn.TEXTJOIN("", TRUE, I129:S129)</f>
        <v/>
      </c>
      <c r="C129" s="21">
        <f>IF(ISBLANK(X129),"", _xlfn.TEXTJOIN("",TRUE,T129:Z129))</f>
        <v/>
      </c>
      <c r="D129" s="21">
        <f>IF(ISBLANK(AB129), "", _xlfn.TEXTJOIN("", TRUE, AA129:AC129))</f>
        <v/>
      </c>
      <c r="E129" s="22">
        <f>IF(AU129="NA", _xlfn.TEXTJOIN("", TRUE, AD129:AH129), _xlfn.TEXTJOIN("", TRUE, AD129:AJ129))</f>
        <v/>
      </c>
      <c r="F129" s="42">
        <f>IF(LEFT(G129,4)="FY26","&lt;b&gt;","&lt;i&gt;")</f>
        <v/>
      </c>
      <c r="G129" s="42" t="inlineStr">
        <is>
          <t>FY26 Reduction</t>
        </is>
      </c>
      <c r="H129" s="42">
        <f>IF(LEFT(G129,4)="FY26","&lt;/b&gt;","&lt;/i&gt;")</f>
        <v/>
      </c>
      <c r="I129" s="43" t="inlineStr">
        <is>
          <t>&lt;i&gt;</t>
        </is>
      </c>
      <c r="J129" s="44" t="inlineStr">
        <is>
          <t>State Board of Education</t>
        </is>
      </c>
      <c r="K129" s="44" t="inlineStr">
        <is>
          <t>&lt;/i&gt;</t>
        </is>
      </c>
      <c r="L129" s="4">
        <f>IF(ISBLANK(N129),"","&lt;br&gt;")</f>
        <v/>
      </c>
      <c r="M129" s="42">
        <f>IF(ISBLANK(R129),"&lt;b&gt;","&lt;i&gt;")</f>
        <v/>
      </c>
      <c r="N129" s="42" t="inlineStr">
        <is>
          <t>Health Education Programs</t>
        </is>
      </c>
      <c r="O129" s="42">
        <f>IF(ISBLANK(R129),"&lt;/b&gt;","&lt;/i&gt;")</f>
        <v/>
      </c>
      <c r="P129" s="4">
        <f>IF(ISBLANK(R129),"","&lt;br&gt;")</f>
        <v/>
      </c>
      <c r="Q129" s="42">
        <f>IF(ISBLANK(R129),"","&lt;b&gt;")</f>
        <v/>
      </c>
      <c r="R129" s="42" t="n"/>
      <c r="S129" s="42">
        <f>IF(ISBLANK(R129),"","&lt;/i&gt;")</f>
        <v/>
      </c>
      <c r="T129" s="43">
        <f>IF(ISBLANK(X129),"",IF(OR(AB129="PASSED",ISBLANK(N129)),"&lt;b&gt;","&lt;i&gt;"))</f>
        <v/>
      </c>
      <c r="U129" s="3">
        <f>IF(ISBLANK(V129),"","&lt;a href='")</f>
        <v/>
      </c>
      <c r="V129" s="39" t="inlineStr">
        <is>
          <t>https://legislature.idaho.gov/sessioninfo/2026/legislation/S1331/</t>
        </is>
      </c>
      <c r="W129" s="17">
        <f>IF(ISBLANK(V129),"","'&gt;")</f>
        <v/>
      </c>
      <c r="X129" s="12" t="inlineStr">
        <is>
          <t>Senate Bill 1331</t>
        </is>
      </c>
      <c r="Y129" s="17">
        <f>IF(ISBLANK(X129),"","&lt;/a&gt;")</f>
        <v/>
      </c>
      <c r="Z129" s="42">
        <f>IF(ISBLANK(X129),"",IF(OR(AB129="PASSED",ISBLANK(N129)),"&lt;/b&gt;","&lt;/i&gt;"))</f>
        <v/>
      </c>
      <c r="AA129" s="43">
        <f>IF(AB129="PASSED","&lt;b&gt;","")</f>
        <v/>
      </c>
      <c r="AB129" s="45" t="inlineStr">
        <is>
          <t>PASSED</t>
        </is>
      </c>
      <c r="AC129" s="43">
        <f>IF(AB129="PASSED","&lt;/b&gt;","")</f>
        <v/>
      </c>
      <c r="AD129" s="43">
        <f>IF(ISBLANK(AE129),"","&lt;b&gt;")</f>
        <v/>
      </c>
      <c r="AE129" s="51" t="inlineStr">
        <is>
          <t>03/06</t>
        </is>
      </c>
      <c r="AF129" s="42">
        <f>IF(ISBLANK(AE129),"",": ")</f>
        <v/>
      </c>
      <c r="AG129" s="42" t="inlineStr">
        <is>
          <t>House Vote 48-22</t>
        </is>
      </c>
      <c r="AH129" s="42">
        <f>IF(ISBLANK(AE129),"","&lt;/b&gt;")</f>
        <v/>
      </c>
      <c r="AI129" s="42" t="inlineStr">
        <is>
          <t>03/02: Senate Vote 18-17&lt;br&gt;02/06: FY26 holdback (-4%)</t>
        </is>
      </c>
      <c r="AJ129" s="42">
        <f>IF(ISBLANK(AI129),"","&lt;br&gt;"&amp;AI129)</f>
        <v/>
      </c>
      <c r="AK129" s="4" t="inlineStr">
        <is>
          <t>&lt;br&gt;</t>
        </is>
      </c>
      <c r="AL129" s="42" t="inlineStr">
        <is>
          <t>&lt;b&gt;&lt;i&gt;</t>
        </is>
      </c>
      <c r="AM129" s="42" t="inlineStr">
        <is>
          <t>Governor's 3% + JFAC's 1%</t>
        </is>
      </c>
      <c r="AN129" s="42">
        <f>IF(ISBLANK(AM129),"","&lt;/i&gt;")</f>
        <v/>
      </c>
      <c r="AO129" s="35">
        <f>IF(ISBLANK(AQ129),"","&lt;/b&gt;&lt;br&gt;&lt;br&gt;")</f>
        <v/>
      </c>
      <c r="AP129" s="42">
        <f>IF(ISBLANK(AQ129),"","&lt;b&gt;")</f>
        <v/>
      </c>
      <c r="AQ129" s="47" t="inlineStr">
        <is>
          <t xml:space="preserve">Agency Reduction Plan:&lt;br&gt;Additional </t>
        </is>
      </c>
      <c r="AR129" s="42" t="inlineStr">
        <is>
          <t>1</t>
        </is>
      </c>
      <c r="AS129" s="4">
        <f>IF(ISBLANK(AR129),""," %")</f>
        <v/>
      </c>
      <c r="AT129" s="4">
        <f t="array" ref="AT129">_xlfn.IFS(NOT(ISBLANK(AU129))," (pgs. ",NOT(ISBLANK(AS129))," (pg. ", ISBLANK(AS129), "")</f>
        <v/>
      </c>
      <c r="AU129" s="52" t="n">
        <v>29</v>
      </c>
      <c r="AV129" s="4">
        <f>IF(ISBLANK(AW129),"",", ")</f>
        <v/>
      </c>
      <c r="AW129" s="53" t="n">
        <v>38</v>
      </c>
      <c r="AX129" s="4">
        <f>IF(ISBLANK(AY129),"",",&lt;br&gt;")</f>
        <v/>
      </c>
      <c r="AY129" s="53" t="inlineStr">
        <is>
          <t>44, 50</t>
        </is>
      </c>
      <c r="AZ129" s="49">
        <f>IF(ISBLANK(AU129),"",")&lt;/b&gt;")</f>
        <v/>
      </c>
      <c r="BA129" s="4">
        <f>IF(ISBLANK(BC129),"","&lt;br&gt;")</f>
        <v/>
      </c>
      <c r="BB129" s="42">
        <f t="array" ref="BB129">IF(ISBLANK(BC129),"",_xlfn.LET(
_xlpm.words,_xlfn.TEXTSPLIT(TRIM(BC129),"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29" s="50" t="inlineStr">
        <is>
          <t>We are now more than halfway through FY26, and Idaho state GME funding, post-recission, has already been allocated. FY26 resident and teaching physician salaries are contractually obligated, and expenses supporting resident clinics are being incurred. Program leadership, program faculty and program administrative FTEs, such as residency coordinators, are dictated by the national GME accrediting body and cannot be adjusted. The Idaho Dental Education Program (IDEP) has no clinic income or other revenue stream to offset budget cuts. 100% of IDEP's Trustee Benefits go directly to Creighton University to cover the contractual cost per student. Additional cuts- after years of negotiations to increase class sizes may jeopardize the relationship with Creighton, a critical and reliable partner in Idaho dental education. WIMU - We will scale back veterinary teaching at our animal units, reducing experiential learning opportunities for students. WWAMI - A 1% budget reduction on top of the current 3% reduction will require downsizing and reallocating of the faculty workforce, as personnel costs represent the majority of medical education expenditures. Reduced faculty capacity will negatively affect learner supervision, curriculum delivery, assessment activities, and especially clinical preparation. Further attrition will permanently compound workforce challenges as labor is in short supply. The positions that would be eliminated are currently joint faculty who also teach in the College of Science which will cause a cascading effect on their budget as well. WWAMI's workforce is lean as it is, and the additional 1% reduction would result in the loss of faculty personnel who teach part-time for this program.</t>
        </is>
      </c>
    </row>
    <row r="130">
      <c r="A130" s="20">
        <f>_xlfn.TEXTJOIN("", TRUE, F130:H130)</f>
        <v/>
      </c>
      <c r="B130" s="21">
        <f>_xlfn.TEXTJOIN("", TRUE, I130:S130)</f>
        <v/>
      </c>
      <c r="C130" s="21">
        <f>IF(ISBLANK(X130),"", _xlfn.TEXTJOIN("",TRUE,T130:Z130))</f>
        <v/>
      </c>
      <c r="D130" s="21">
        <f>IF(ISBLANK(AB130), "", _xlfn.TEXTJOIN("", TRUE, AA130:AC130))</f>
        <v/>
      </c>
      <c r="E130" s="22">
        <f>IF(AU130="NA", _xlfn.TEXTJOIN("", TRUE, AD130:AH130), _xlfn.TEXTJOIN("", TRUE, AD130:AJ130))</f>
        <v/>
      </c>
      <c r="F130" s="42">
        <f>IF(LEFT(G130,4)="FY26","&lt;b&gt;","&lt;i&gt;")</f>
        <v/>
      </c>
      <c r="G130" s="42" t="inlineStr">
        <is>
          <t>FY26 Reduction</t>
        </is>
      </c>
      <c r="H130" s="42">
        <f>IF(LEFT(G130,4)="FY26","&lt;/b&gt;","&lt;/i&gt;")</f>
        <v/>
      </c>
      <c r="I130" s="43" t="inlineStr">
        <is>
          <t>&lt;i&gt;</t>
        </is>
      </c>
      <c r="J130" s="44" t="inlineStr">
        <is>
          <t>State Board of Education</t>
        </is>
      </c>
      <c r="K130" s="44" t="inlineStr">
        <is>
          <t>&lt;/i&gt;</t>
        </is>
      </c>
      <c r="L130" s="4">
        <f>IF(ISBLANK(N130),"","&lt;br&gt;")</f>
        <v/>
      </c>
      <c r="M130" s="42">
        <f>IF(ISBLANK(R130),"&lt;b&gt;","&lt;i&gt;")</f>
        <v/>
      </c>
      <c r="N130" s="42" t="inlineStr">
        <is>
          <t>Idaho Public Television</t>
        </is>
      </c>
      <c r="O130" s="42">
        <f>IF(ISBLANK(R130),"&lt;/b&gt;","&lt;/i&gt;")</f>
        <v/>
      </c>
      <c r="P130" s="4">
        <f>IF(ISBLANK(R130),"","&lt;br&gt;")</f>
        <v/>
      </c>
      <c r="Q130" s="42">
        <f>IF(ISBLANK(R130),"","&lt;b&gt;")</f>
        <v/>
      </c>
      <c r="R130" s="42" t="n"/>
      <c r="S130" s="42">
        <f>IF(ISBLANK(R130),"","&lt;/i&gt;")</f>
        <v/>
      </c>
      <c r="T130" s="43">
        <f>IF(ISBLANK(X130),"",IF(OR(AB130="PASSED",ISBLANK(N130)),"&lt;b&gt;","&lt;i&gt;"))</f>
        <v/>
      </c>
      <c r="U130" s="3">
        <f>IF(ISBLANK(V130),"","&lt;a href='")</f>
        <v/>
      </c>
      <c r="V130" s="39" t="inlineStr">
        <is>
          <t>https://legislature.idaho.gov/sessioninfo/2026/legislation/S1331/</t>
        </is>
      </c>
      <c r="W130" s="17">
        <f>IF(ISBLANK(V130),"","'&gt;")</f>
        <v/>
      </c>
      <c r="X130" s="12" t="inlineStr">
        <is>
          <t>Senate Bill 1331</t>
        </is>
      </c>
      <c r="Y130" s="17">
        <f>IF(ISBLANK(X130),"","&lt;/a&gt;")</f>
        <v/>
      </c>
      <c r="Z130" s="42">
        <f>IF(ISBLANK(X130),"",IF(OR(AB130="PASSED",ISBLANK(N130)),"&lt;/b&gt;","&lt;/i&gt;"))</f>
        <v/>
      </c>
      <c r="AA130" s="43">
        <f>IF(AB130="PASSED","&lt;b&gt;","")</f>
        <v/>
      </c>
      <c r="AB130" s="45" t="inlineStr">
        <is>
          <t>PASSED</t>
        </is>
      </c>
      <c r="AC130" s="43">
        <f>IF(AB130="PASSED","&lt;/b&gt;","")</f>
        <v/>
      </c>
      <c r="AD130" s="43">
        <f>IF(ISBLANK(AE130),"","&lt;b&gt;")</f>
        <v/>
      </c>
      <c r="AE130" s="51" t="inlineStr">
        <is>
          <t>03/06</t>
        </is>
      </c>
      <c r="AF130" s="42">
        <f>IF(ISBLANK(AE130),"",": ")</f>
        <v/>
      </c>
      <c r="AG130" s="42" t="inlineStr">
        <is>
          <t>House Vote 48-22</t>
        </is>
      </c>
      <c r="AH130" s="42">
        <f>IF(ISBLANK(AE130),"","&lt;/b&gt;")</f>
        <v/>
      </c>
      <c r="AI130" s="42" t="inlineStr">
        <is>
          <t>03/02: Senate Vote 18-17&lt;br&gt;02/06: FY26 holdback (-4%)</t>
        </is>
      </c>
      <c r="AJ130" s="42">
        <f>IF(ISBLANK(AI130),"","&lt;br&gt;"&amp;AI130)</f>
        <v/>
      </c>
      <c r="AK130" s="4" t="inlineStr">
        <is>
          <t>&lt;br&gt;</t>
        </is>
      </c>
      <c r="AL130" s="42" t="inlineStr">
        <is>
          <t>&lt;b&gt;&lt;i&gt;</t>
        </is>
      </c>
      <c r="AM130" s="42" t="inlineStr">
        <is>
          <t>Governor's 3% + JFAC's 1%</t>
        </is>
      </c>
      <c r="AN130" s="42">
        <f>IF(ISBLANK(AM130),"","&lt;/i&gt;")</f>
        <v/>
      </c>
      <c r="AO130" s="35">
        <f>IF(ISBLANK(AQ130),"","&lt;/b&gt;&lt;br&gt;&lt;br&gt;")</f>
        <v/>
      </c>
      <c r="AP130" s="42">
        <f>IF(ISBLANK(AQ130),"","&lt;b&gt;")</f>
        <v/>
      </c>
      <c r="AQ130" s="47" t="inlineStr">
        <is>
          <t xml:space="preserve">Agency Reduction Plan:&lt;br&gt;Additional </t>
        </is>
      </c>
      <c r="AR130" s="42" t="inlineStr">
        <is>
          <t>1</t>
        </is>
      </c>
      <c r="AS130" s="4">
        <f>IF(ISBLANK(AR130),""," %")</f>
        <v/>
      </c>
      <c r="AT130" s="4">
        <f t="array" ref="AT130">_xlfn.IFS(NOT(ISBLANK(AU130))," (pgs. ",NOT(ISBLANK(AS130))," (pg. ", ISBLANK(AS130), "")</f>
        <v/>
      </c>
      <c r="AU130" s="52" t="n">
        <v>63</v>
      </c>
      <c r="AV130" s="4">
        <f>IF(ISBLANK(AW130),"",", ")</f>
        <v/>
      </c>
      <c r="AW130" s="42" t="n"/>
      <c r="AX130" s="4">
        <f>IF(ISBLANK(AY130),"",",&lt;br&gt;")</f>
        <v/>
      </c>
      <c r="AY130" s="42" t="n"/>
      <c r="AZ130" s="49">
        <f>IF(ISBLANK(AU130),"",")&lt;/b&gt;")</f>
        <v/>
      </c>
      <c r="BA130" s="4">
        <f>IF(ISBLANK(BC130),"","&lt;br&gt;")</f>
        <v/>
      </c>
      <c r="BB130" s="42">
        <f t="array" ref="BB130">IF(ISBLANK(BC130),"",_xlfn.LET(
_xlpm.words,_xlfn.TEXTSPLIT(TRIM(BC130),"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30" s="50" t="inlineStr">
        <is>
          <t>Any reductions to General Fund support may weaken IPTV’s ability to maintain our network operations center and the infrastructure that sits atop many mountains throughout Idaho. Cuts reduce monitoring, delay replacement of aging equipment, increase outage risk, and diminish emergency alert reliability. While Friends of Idaho Public Television may occasionally augment the purchase equipment, the agency relies on General Fund dollars to replace capital assets because they support the entire state. While IPTV can cope with these cuts for a limited amount of time, our 10-year capital replacement plan continues to be pushed out further which will lead to failures in the system. A specific example is our system of 46 translators (low power transmitters) which rebroadcast our high-power transmitter signals into rural areas. The manufacturer of these translators is no longer in business or supporting the equipment. A grant IPTV applied for from FEMA to fund the purchase of this equipment was cancelled. These translators are $20,000 to $30,000 each. Our plan is to tackle them based on priority based upon our budget.</t>
        </is>
      </c>
    </row>
    <row r="131">
      <c r="A131" s="20">
        <f>_xlfn.TEXTJOIN("", TRUE, F131:H131)</f>
        <v/>
      </c>
      <c r="B131" s="21">
        <f>_xlfn.TEXTJOIN("", TRUE, I131:S131)</f>
        <v/>
      </c>
      <c r="C131" s="21">
        <f>IF(ISBLANK(X131),"", _xlfn.TEXTJOIN("",TRUE,T131:Z131))</f>
        <v/>
      </c>
      <c r="D131" s="21">
        <f>IF(ISBLANK(AB131), "", _xlfn.TEXTJOIN("", TRUE, AA131:AC131))</f>
        <v/>
      </c>
      <c r="E131" s="22">
        <f>IF(AU131="NA", _xlfn.TEXTJOIN("", TRUE, AD131:AH131), _xlfn.TEXTJOIN("", TRUE, AD131:AJ131))</f>
        <v/>
      </c>
      <c r="F131" s="42">
        <f>IF(LEFT(G131,4)="FY26","&lt;b&gt;","&lt;i&gt;")</f>
        <v/>
      </c>
      <c r="G131" s="42" t="inlineStr">
        <is>
          <t>FY26 Reduction</t>
        </is>
      </c>
      <c r="H131" s="42">
        <f>IF(LEFT(G131,4)="FY26","&lt;/b&gt;","&lt;/i&gt;")</f>
        <v/>
      </c>
      <c r="I131" s="43" t="inlineStr">
        <is>
          <t>&lt;i&gt;</t>
        </is>
      </c>
      <c r="J131" s="44" t="inlineStr">
        <is>
          <t>State Board of Education</t>
        </is>
      </c>
      <c r="K131" s="44" t="inlineStr">
        <is>
          <t>&lt;/i&gt;</t>
        </is>
      </c>
      <c r="L131" s="4">
        <f>IF(ISBLANK(N131),"","&lt;br&gt;")</f>
        <v/>
      </c>
      <c r="M131" s="42">
        <f>IF(ISBLANK(R131),"&lt;b&gt;","&lt;i&gt;")</f>
        <v/>
      </c>
      <c r="N131" s="42" t="inlineStr">
        <is>
          <t>Office of the State Board of Education</t>
        </is>
      </c>
      <c r="O131" s="42">
        <f>IF(ISBLANK(R131),"&lt;/b&gt;","&lt;/i&gt;")</f>
        <v/>
      </c>
      <c r="P131" s="4">
        <f>IF(ISBLANK(R131),"","&lt;br&gt;")</f>
        <v/>
      </c>
      <c r="Q131" s="42">
        <f>IF(ISBLANK(R131),"","&lt;b&gt;")</f>
        <v/>
      </c>
      <c r="R131" s="42" t="n"/>
      <c r="S131" s="42">
        <f>IF(ISBLANK(R131),"","&lt;/i&gt;")</f>
        <v/>
      </c>
      <c r="T131" s="43">
        <f>IF(ISBLANK(X131),"",IF(OR(AB131="PASSED",ISBLANK(N131)),"&lt;b&gt;","&lt;i&gt;"))</f>
        <v/>
      </c>
      <c r="U131" s="3">
        <f>IF(ISBLANK(V131),"","&lt;a href='")</f>
        <v/>
      </c>
      <c r="V131" s="39" t="inlineStr">
        <is>
          <t>https://legislature.idaho.gov/sessioninfo/2026/legislation/S1331/</t>
        </is>
      </c>
      <c r="W131" s="17">
        <f>IF(ISBLANK(V131),"","'&gt;")</f>
        <v/>
      </c>
      <c r="X131" s="12" t="inlineStr">
        <is>
          <t>Senate Bill 1331</t>
        </is>
      </c>
      <c r="Y131" s="17">
        <f>IF(ISBLANK(X131),"","&lt;/a&gt;")</f>
        <v/>
      </c>
      <c r="Z131" s="42">
        <f>IF(ISBLANK(X131),"",IF(OR(AB131="PASSED",ISBLANK(N131)),"&lt;/b&gt;","&lt;/i&gt;"))</f>
        <v/>
      </c>
      <c r="AA131" s="43">
        <f>IF(AB131="PASSED","&lt;b&gt;","")</f>
        <v/>
      </c>
      <c r="AB131" s="45" t="inlineStr">
        <is>
          <t>PASSED</t>
        </is>
      </c>
      <c r="AC131" s="43">
        <f>IF(AB131="PASSED","&lt;/b&gt;","")</f>
        <v/>
      </c>
      <c r="AD131" s="43">
        <f>IF(ISBLANK(AE131),"","&lt;b&gt;")</f>
        <v/>
      </c>
      <c r="AE131" s="51" t="inlineStr">
        <is>
          <t>03/06</t>
        </is>
      </c>
      <c r="AF131" s="42">
        <f>IF(ISBLANK(AE131),"",": ")</f>
        <v/>
      </c>
      <c r="AG131" s="42" t="inlineStr">
        <is>
          <t>House Vote 48-22</t>
        </is>
      </c>
      <c r="AH131" s="42">
        <f>IF(ISBLANK(AE131),"","&lt;/b&gt;")</f>
        <v/>
      </c>
      <c r="AI131" s="42" t="inlineStr">
        <is>
          <t>03/02: Senate Vote 18-17&lt;br&gt;02/06: FY26 holdback (-4%)</t>
        </is>
      </c>
      <c r="AJ131" s="42">
        <f>IF(ISBLANK(AI131),"","&lt;br&gt;"&amp;AI131)</f>
        <v/>
      </c>
      <c r="AK131" s="4" t="inlineStr">
        <is>
          <t>&lt;br&gt;</t>
        </is>
      </c>
      <c r="AL131" s="42" t="inlineStr">
        <is>
          <t>&lt;b&gt;&lt;i&gt;</t>
        </is>
      </c>
      <c r="AM131" s="42" t="inlineStr">
        <is>
          <t>Governor's 3% + JFAC's 1%</t>
        </is>
      </c>
      <c r="AN131" s="42">
        <f>IF(ISBLANK(AM131),"","&lt;/i&gt;")</f>
        <v/>
      </c>
      <c r="AO131" s="35">
        <f>IF(ISBLANK(AQ131),"","&lt;/b&gt;&lt;br&gt;&lt;br&gt;")</f>
        <v/>
      </c>
      <c r="AP131" s="42">
        <f>IF(ISBLANK(AQ131),"","&lt;b&gt;")</f>
        <v/>
      </c>
      <c r="AQ131" s="47" t="inlineStr">
        <is>
          <t xml:space="preserve">Agency Reduction Plan:&lt;br&gt;Additional </t>
        </is>
      </c>
      <c r="AR131" s="42" t="inlineStr">
        <is>
          <t>1</t>
        </is>
      </c>
      <c r="AS131" s="4">
        <f>IF(ISBLANK(AR131),""," %")</f>
        <v/>
      </c>
      <c r="AT131" s="4">
        <f t="array" ref="AT131">_xlfn.IFS(NOT(ISBLANK(AU131))," (pgs. ",NOT(ISBLANK(AS131))," (pg. ", ISBLANK(AS131), "")</f>
        <v/>
      </c>
      <c r="AU131" s="52" t="n">
        <v>26</v>
      </c>
      <c r="AV131" s="4">
        <f>IF(ISBLANK(AW131),"",", ")</f>
        <v/>
      </c>
      <c r="AW131" s="42" t="n"/>
      <c r="AX131" s="4">
        <f>IF(ISBLANK(AY131),"",",&lt;br&gt;")</f>
        <v/>
      </c>
      <c r="AY131" s="42" t="n"/>
      <c r="AZ131" s="49">
        <f>IF(ISBLANK(AU131),"",")&lt;/b&gt;")</f>
        <v/>
      </c>
      <c r="BA131" s="4">
        <f>IF(ISBLANK(BC131),"","&lt;br&gt;")</f>
        <v/>
      </c>
      <c r="BB131" s="42">
        <f t="array" ref="BB131">IF(ISBLANK(BC131),"",_xlfn.LET(
_xlpm.words,_xlfn.TEXTSPLIT(TRIM(BC131),"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31" s="50" t="inlineStr">
        <is>
          <t>Broadband - These funds are available FY2026 due to the timing of projects. Funding will continue to be needed in future fiscal years to complete projects. Reversion means these funds will not be available to K-12 school districts for improving internet infrastructure and interconnectivity between schools. Rural and Underserved Educator Incentive Program - These funds are available through both program attrition and collapsing size of future K-12 rural teacher cohorts that would be eligible for grant program.</t>
        </is>
      </c>
    </row>
    <row r="132">
      <c r="A132" s="20">
        <f>_xlfn.TEXTJOIN("", TRUE, F132:H132)</f>
        <v/>
      </c>
      <c r="B132" s="21">
        <f>_xlfn.TEXTJOIN("", TRUE, I132:S132)</f>
        <v/>
      </c>
      <c r="C132" s="21">
        <f>IF(ISBLANK(X132),"", _xlfn.TEXTJOIN("",TRUE,T132:Z132))</f>
        <v/>
      </c>
      <c r="D132" s="21">
        <f>IF(ISBLANK(AB132), "", _xlfn.TEXTJOIN("", TRUE, AA132:AC132))</f>
        <v/>
      </c>
      <c r="E132" s="22">
        <f>IF(AU132="NA", _xlfn.TEXTJOIN("", TRUE, AD132:AH132), _xlfn.TEXTJOIN("", TRUE, AD132:AJ132))</f>
        <v/>
      </c>
      <c r="F132" s="42">
        <f>IF(LEFT(G132,4)="FY26","&lt;b&gt;","&lt;i&gt;")</f>
        <v/>
      </c>
      <c r="G132" s="42" t="inlineStr">
        <is>
          <t>FY26 Reduction</t>
        </is>
      </c>
      <c r="H132" s="42">
        <f>IF(LEFT(G132,4)="FY26","&lt;/b&gt;","&lt;/i&gt;")</f>
        <v/>
      </c>
      <c r="I132" s="43" t="inlineStr">
        <is>
          <t>&lt;i&gt;</t>
        </is>
      </c>
      <c r="J132" s="44" t="inlineStr">
        <is>
          <t>State Board of Education</t>
        </is>
      </c>
      <c r="K132" s="44" t="inlineStr">
        <is>
          <t>&lt;/i&gt;</t>
        </is>
      </c>
      <c r="L132" s="4">
        <f>IF(ISBLANK(N132),"","&lt;br&gt;")</f>
        <v/>
      </c>
      <c r="M132" s="42">
        <f>IF(ISBLANK(R132),"&lt;b&gt;","&lt;i&gt;")</f>
        <v/>
      </c>
      <c r="N132" s="42" t="inlineStr">
        <is>
          <t>Special Programs</t>
        </is>
      </c>
      <c r="O132" s="42">
        <f>IF(ISBLANK(R132),"&lt;/b&gt;","&lt;/i&gt;")</f>
        <v/>
      </c>
      <c r="P132" s="4">
        <f>IF(ISBLANK(R132),"","&lt;br&gt;")</f>
        <v/>
      </c>
      <c r="Q132" s="42">
        <f>IF(ISBLANK(R132),"","&lt;b&gt;")</f>
        <v/>
      </c>
      <c r="R132" s="42" t="n"/>
      <c r="S132" s="42">
        <f>IF(ISBLANK(R132),"","&lt;/i&gt;")</f>
        <v/>
      </c>
      <c r="T132" s="43">
        <f>IF(ISBLANK(X132),"",IF(OR(AB132="PASSED",ISBLANK(N132)),"&lt;b&gt;","&lt;i&gt;"))</f>
        <v/>
      </c>
      <c r="U132" s="3">
        <f>IF(ISBLANK(V132),"","&lt;a href='")</f>
        <v/>
      </c>
      <c r="V132" s="39" t="inlineStr">
        <is>
          <t>https://legislature.idaho.gov/sessioninfo/2026/legislation/S1331/</t>
        </is>
      </c>
      <c r="W132" s="17">
        <f>IF(ISBLANK(V132),"","'&gt;")</f>
        <v/>
      </c>
      <c r="X132" s="12" t="inlineStr">
        <is>
          <t>Senate Bill 1331</t>
        </is>
      </c>
      <c r="Y132" s="17">
        <f>IF(ISBLANK(X132),"","&lt;/a&gt;")</f>
        <v/>
      </c>
      <c r="Z132" s="42">
        <f>IF(ISBLANK(X132),"",IF(OR(AB132="PASSED",ISBLANK(N132)),"&lt;/b&gt;","&lt;/i&gt;"))</f>
        <v/>
      </c>
      <c r="AA132" s="43">
        <f>IF(AB132="PASSED","&lt;b&gt;","")</f>
        <v/>
      </c>
      <c r="AB132" s="45" t="inlineStr">
        <is>
          <t>PASSED</t>
        </is>
      </c>
      <c r="AC132" s="43">
        <f>IF(AB132="PASSED","&lt;/b&gt;","")</f>
        <v/>
      </c>
      <c r="AD132" s="43">
        <f>IF(ISBLANK(AE132),"","&lt;b&gt;")</f>
        <v/>
      </c>
      <c r="AE132" s="51" t="inlineStr">
        <is>
          <t>03/06</t>
        </is>
      </c>
      <c r="AF132" s="42">
        <f>IF(ISBLANK(AE132),"",": ")</f>
        <v/>
      </c>
      <c r="AG132" s="42" t="inlineStr">
        <is>
          <t>House Vote 48-22</t>
        </is>
      </c>
      <c r="AH132" s="42">
        <f>IF(ISBLANK(AE132),"","&lt;/b&gt;")</f>
        <v/>
      </c>
      <c r="AI132" s="42" t="inlineStr">
        <is>
          <t>03/02: Senate Vote 18-17&lt;br&gt;02/06: FY26 holdback (-4%)</t>
        </is>
      </c>
      <c r="AJ132" s="42">
        <f>IF(ISBLANK(AI132),"","&lt;br&gt;"&amp;AI132)</f>
        <v/>
      </c>
      <c r="AK132" s="4" t="inlineStr">
        <is>
          <t>&lt;br&gt;</t>
        </is>
      </c>
      <c r="AL132" s="42" t="inlineStr">
        <is>
          <t>&lt;b&gt;&lt;i&gt;</t>
        </is>
      </c>
      <c r="AM132" s="42" t="inlineStr">
        <is>
          <t>Governor's 3% + JFAC's 1%</t>
        </is>
      </c>
      <c r="AN132" s="42">
        <f>IF(ISBLANK(AM132),"","&lt;/i&gt;")</f>
        <v/>
      </c>
      <c r="AO132" s="35">
        <f>IF(ISBLANK(AQ132),"","&lt;/b&gt;&lt;br&gt;&lt;br&gt;")</f>
        <v/>
      </c>
      <c r="AP132" s="42">
        <f>IF(ISBLANK(AQ132),"","&lt;b&gt;")</f>
        <v/>
      </c>
      <c r="AQ132" s="47" t="inlineStr">
        <is>
          <t xml:space="preserve">Agency Reduction Plan:&lt;br&gt;Additional </t>
        </is>
      </c>
      <c r="AR132" s="42" t="inlineStr">
        <is>
          <t>1</t>
        </is>
      </c>
      <c r="AS132" s="4">
        <f>IF(ISBLANK(AR132),""," %")</f>
        <v/>
      </c>
      <c r="AT132" s="4">
        <f t="array" ref="AT132">_xlfn.IFS(NOT(ISBLANK(AU132))," (pgs. ",NOT(ISBLANK(AS132))," (pg. ", ISBLANK(AS132), "")</f>
        <v/>
      </c>
      <c r="AU132" s="52" t="n">
        <v>65</v>
      </c>
      <c r="AV132" s="4">
        <f>IF(ISBLANK(AW132),"",", ")</f>
        <v/>
      </c>
      <c r="AW132" s="53" t="n">
        <v>67</v>
      </c>
      <c r="AX132" s="4">
        <f>IF(ISBLANK(AY132),"",",&lt;br&gt;")</f>
        <v/>
      </c>
      <c r="AY132" s="53" t="inlineStr">
        <is>
          <t>69, 71, 75</t>
        </is>
      </c>
      <c r="AZ132" s="49">
        <f>IF(ISBLANK(AU132),"",")&lt;/b&gt;")</f>
        <v/>
      </c>
      <c r="BA132" s="4">
        <f>IF(ISBLANK(BC132),"","&lt;br&gt;")</f>
        <v/>
      </c>
      <c r="BB132" s="42">
        <f t="array" ref="BB132">IF(ISBLANK(BC132),"",_xlfn.LET(
_xlpm.words,_xlfn.TEXTSPLIT(TRIM(BC132),"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32" s="50" t="inlineStr">
        <is>
          <t>Forest Utilization Research program - Travel and operating expenditures will be frozen up to this amount reducing units travel and operating to critical needs only. Idaho Geological Survey - IGS will respond to the proposed reductions by eliminating a full FTE position. Although the reduction is less than one full FTE, the cumulative FY26 and FY27 budget cuts cannot be absorbed through additional efficiency measures or operational reductions, all of which have been exhausted. IGS cannot continue to operate with no remaining operational funds, making staff reorganization unavoidable. These reductions will directly limit IGS’s ability to provide critical subsurface information to Idaho’s mineral and energy industries at a time of increased demand in support of the state’s mineral economy. Idaho Museum of Natural History - This reduction in part time staffing will limit museum programs and services. Small Business Development Center - Reduce work hours for client-facing positions directly lowering impact and growth for Idaho Small Businesses. TechHelp - A reduction in salary and benefits funding would directly affect TechHelp's ability to provide timely, high-quality services to Idaho manufacturers. TechHelp's effectiveness depends largely on staff expertise and direct client engagement. Reducing funding in this area would diminish available staff hours for delivering technical assistance, conducting on-site visits, and performing outreach activities that connect manufacturers to implement growth opportunities.</t>
        </is>
      </c>
    </row>
    <row r="133">
      <c r="A133" s="20">
        <f>_xlfn.TEXTJOIN("", TRUE, F133:H133)</f>
        <v/>
      </c>
      <c r="B133" s="21">
        <f>_xlfn.TEXTJOIN("", TRUE, I133:S133)</f>
        <v/>
      </c>
      <c r="C133" s="21">
        <f>IF(ISBLANK(X133),"", _xlfn.TEXTJOIN("",TRUE,T133:Z133))</f>
        <v/>
      </c>
      <c r="D133" s="21">
        <f>IF(ISBLANK(AB133), "", _xlfn.TEXTJOIN("", TRUE, AA133:AC133))</f>
        <v/>
      </c>
      <c r="E133" s="22">
        <f>IF(AU133="NA", _xlfn.TEXTJOIN("", TRUE, AD133:AH133), _xlfn.TEXTJOIN("", TRUE, AD133:AJ133))</f>
        <v/>
      </c>
      <c r="F133" s="42">
        <f>IF(LEFT(G133,4)="FY26","&lt;b&gt;","&lt;i&gt;")</f>
        <v/>
      </c>
      <c r="G133" s="42" t="inlineStr">
        <is>
          <t>FY26 Reduction</t>
        </is>
      </c>
      <c r="H133" s="42">
        <f>IF(LEFT(G133,4)="FY26","&lt;/b&gt;","&lt;/i&gt;")</f>
        <v/>
      </c>
      <c r="I133" s="43" t="inlineStr">
        <is>
          <t>&lt;i&gt;</t>
        </is>
      </c>
      <c r="J133" s="44" t="inlineStr">
        <is>
          <t>State Board of Education</t>
        </is>
      </c>
      <c r="K133" s="44" t="inlineStr">
        <is>
          <t>&lt;/i&gt;</t>
        </is>
      </c>
      <c r="L133" s="4">
        <f>IF(ISBLANK(N133),"","&lt;br&gt;")</f>
        <v/>
      </c>
      <c r="M133" s="42">
        <f>IF(ISBLANK(R133),"&lt;b&gt;","&lt;i&gt;")</f>
        <v/>
      </c>
      <c r="N133" s="42" t="inlineStr">
        <is>
          <t>Vocational Rehabilitation</t>
        </is>
      </c>
      <c r="O133" s="42">
        <f>IF(ISBLANK(R133),"&lt;/b&gt;","&lt;/i&gt;")</f>
        <v/>
      </c>
      <c r="P133" s="4">
        <f>IF(ISBLANK(R133),"","&lt;br&gt;")</f>
        <v/>
      </c>
      <c r="Q133" s="42">
        <f>IF(ISBLANK(R133),"","&lt;b&gt;")</f>
        <v/>
      </c>
      <c r="R133" s="42" t="n"/>
      <c r="S133" s="42">
        <f>IF(ISBLANK(R133),"","&lt;/i&gt;")</f>
        <v/>
      </c>
      <c r="T133" s="43">
        <f>IF(ISBLANK(X133),"",IF(OR(AB133="PASSED",ISBLANK(N133)),"&lt;b&gt;","&lt;i&gt;"))</f>
        <v/>
      </c>
      <c r="U133" s="3">
        <f>IF(ISBLANK(V133),"","&lt;a href='")</f>
        <v/>
      </c>
      <c r="V133" s="39" t="inlineStr">
        <is>
          <t>https://legislature.idaho.gov/sessioninfo/2026/legislation/S1331/</t>
        </is>
      </c>
      <c r="W133" s="17">
        <f>IF(ISBLANK(V133),"","'&gt;")</f>
        <v/>
      </c>
      <c r="X133" s="12" t="inlineStr">
        <is>
          <t>Senate Bill 1331</t>
        </is>
      </c>
      <c r="Y133" s="17">
        <f>IF(ISBLANK(X133),"","&lt;/a&gt;")</f>
        <v/>
      </c>
      <c r="Z133" s="42">
        <f>IF(ISBLANK(X133),"",IF(OR(AB133="PASSED",ISBLANK(N133)),"&lt;/b&gt;","&lt;/i&gt;"))</f>
        <v/>
      </c>
      <c r="AA133" s="43">
        <f>IF(AB133="PASSED","&lt;b&gt;","")</f>
        <v/>
      </c>
      <c r="AB133" s="45" t="inlineStr">
        <is>
          <t>PASSED</t>
        </is>
      </c>
      <c r="AC133" s="43">
        <f>IF(AB133="PASSED","&lt;/b&gt;","")</f>
        <v/>
      </c>
      <c r="AD133" s="43">
        <f>IF(ISBLANK(AE133),"","&lt;b&gt;")</f>
        <v/>
      </c>
      <c r="AE133" s="51" t="inlineStr">
        <is>
          <t>03/06</t>
        </is>
      </c>
      <c r="AF133" s="42">
        <f>IF(ISBLANK(AE133),"",": ")</f>
        <v/>
      </c>
      <c r="AG133" s="42" t="inlineStr">
        <is>
          <t>House Vote 48-22</t>
        </is>
      </c>
      <c r="AH133" s="42">
        <f>IF(ISBLANK(AE133),"","&lt;/b&gt;")</f>
        <v/>
      </c>
      <c r="AI133" s="42" t="inlineStr">
        <is>
          <t>03/02: Senate Vote 18-17&lt;br&gt;02/06: FY26 holdback (-4%)</t>
        </is>
      </c>
      <c r="AJ133" s="42">
        <f>IF(ISBLANK(AI133),"","&lt;br&gt;"&amp;AI133)</f>
        <v/>
      </c>
      <c r="AK133" s="4" t="inlineStr">
        <is>
          <t>&lt;br&gt;</t>
        </is>
      </c>
      <c r="AL133" s="42" t="inlineStr">
        <is>
          <t>&lt;b&gt;&lt;i&gt;</t>
        </is>
      </c>
      <c r="AM133" s="42" t="inlineStr">
        <is>
          <t>Governor's 3% + JFAC's 1%</t>
        </is>
      </c>
      <c r="AN133" s="42">
        <f>IF(ISBLANK(AM133),"","&lt;/i&gt;")</f>
        <v/>
      </c>
      <c r="AO133" s="35">
        <f>IF(ISBLANK(AQ133),"","&lt;/b&gt;&lt;br&gt;&lt;br&gt;")</f>
        <v/>
      </c>
      <c r="AP133" s="42">
        <f>IF(ISBLANK(AQ133),"","&lt;b&gt;")</f>
        <v/>
      </c>
      <c r="AQ133" s="47" t="inlineStr">
        <is>
          <t xml:space="preserve">Agency Reduction Plan:&lt;br&gt;Additional </t>
        </is>
      </c>
      <c r="AR133" s="42" t="inlineStr">
        <is>
          <t>1</t>
        </is>
      </c>
      <c r="AS133" s="4">
        <f>IF(ISBLANK(AR133),""," %")</f>
        <v/>
      </c>
      <c r="AT133" s="4">
        <f t="array" ref="AT133">_xlfn.IFS(NOT(ISBLANK(AU133))," (pgs. ",NOT(ISBLANK(AS133))," (pg. ", ISBLANK(AS133), "")</f>
        <v/>
      </c>
      <c r="AU133" s="52" t="n">
        <v>79</v>
      </c>
      <c r="AV133" s="4">
        <f>IF(ISBLANK(AW133),"",", ")</f>
        <v/>
      </c>
      <c r="AW133" s="42" t="n"/>
      <c r="AX133" s="4">
        <f>IF(ISBLANK(AY133),"",",&lt;br&gt;")</f>
        <v/>
      </c>
      <c r="AY133" s="42" t="n"/>
      <c r="AZ133" s="49">
        <f>IF(ISBLANK(AU133),"",")&lt;/b&gt;")</f>
        <v/>
      </c>
      <c r="BA133" s="4">
        <f>IF(ISBLANK(BC133),"","&lt;br&gt;")</f>
        <v/>
      </c>
      <c r="BB133" s="42">
        <f t="array" ref="BB133">IF(ISBLANK(BC133),"",_xlfn.LET(
_xlpm.words,_xlfn.TEXTSPLIT(TRIM(BC133),"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33" s="50" t="inlineStr">
        <is>
          <t>A $48,300 reduction will directly decrease the amount of federal matching funds available to the Vocational Rehabilitation program, resulting in a total service reduction of $226,800. This reduction will limit the program’s ability to provide individualized employment services that help individuals enter the workforce and become self-sufficient, taxpaying citizens. As of 12/31/2025, IDVR has a waitlist of 3,483 individuals. The proposed reduction would delay workforce entry for approximately 113 individuals, increasing long-term dependence on public assistance and reducing potential tax revenue. Delay hire one part-time Sign Language Interpreter position - This reduction will impact CDHH’s ability to provide timely accommodations, including for employees. While the reduction covers the required holdback, it raises ADA Title II compliance concerns and is not sustainable long term.</t>
        </is>
      </c>
    </row>
    <row r="134">
      <c r="A134" s="20">
        <f>_xlfn.TEXTJOIN("", TRUE, F134:H134)</f>
        <v/>
      </c>
      <c r="B134" s="21">
        <f>_xlfn.TEXTJOIN("", TRUE, I134:S134)</f>
        <v/>
      </c>
      <c r="C134" s="21">
        <f>IF(ISBLANK(X134),"", _xlfn.TEXTJOIN("",TRUE,T134:Z134))</f>
        <v/>
      </c>
      <c r="D134" s="21">
        <f>IF(ISBLANK(AB134), "", _xlfn.TEXTJOIN("", TRUE, AA134:AC134))</f>
        <v/>
      </c>
      <c r="E134" s="22">
        <f>IF(AU134="NA", _xlfn.TEXTJOIN("", TRUE, AD134:AH134), _xlfn.TEXTJOIN("", TRUE, AD134:AJ134))</f>
        <v/>
      </c>
      <c r="F134" s="42">
        <f>IF(LEFT(G134,4)="FY26","&lt;b&gt;","&lt;i&gt;")</f>
        <v/>
      </c>
      <c r="G134" s="42" t="inlineStr">
        <is>
          <t>FY26 Supplemental</t>
        </is>
      </c>
      <c r="H134" s="42">
        <f>IF(LEFT(G134,4)="FY26","&lt;/b&gt;","&lt;/i&gt;")</f>
        <v/>
      </c>
      <c r="I134" s="43" t="inlineStr">
        <is>
          <t>&lt;i&gt;</t>
        </is>
      </c>
      <c r="J134" s="44" t="inlineStr">
        <is>
          <t>Economic Development</t>
        </is>
      </c>
      <c r="K134" s="44" t="inlineStr">
        <is>
          <t>&lt;/i&gt;</t>
        </is>
      </c>
      <c r="L134" s="4">
        <f>IF(ISBLANK(N134),"","&lt;br&gt;")</f>
        <v/>
      </c>
      <c r="M134" s="42">
        <f>IF(ISBLANK(R134),"&lt;b&gt;","&lt;i&gt;")</f>
        <v/>
      </c>
      <c r="N134" s="42" t="inlineStr">
        <is>
          <t>Dept. of Agriculture</t>
        </is>
      </c>
      <c r="O134" s="42">
        <f>IF(ISBLANK(R134),"&lt;/b&gt;","&lt;/i&gt;")</f>
        <v/>
      </c>
      <c r="P134" s="4">
        <f>IF(ISBLANK(R134),"","&lt;br&gt;")</f>
        <v/>
      </c>
      <c r="Q134" s="42">
        <f>IF(ISBLANK(R134),"","&lt;b&gt;")</f>
        <v/>
      </c>
      <c r="R134" s="42" t="n"/>
      <c r="S134" s="42">
        <f>IF(ISBLANK(R134),"","&lt;/i&gt;")</f>
        <v/>
      </c>
      <c r="T134" s="42">
        <f>IF(ISBLANK(X134),"",IF(OR(AB134="PASSED",ISBLANK(N134)),"&lt;b&gt;","&lt;i&gt;"))</f>
        <v/>
      </c>
      <c r="U134" s="3">
        <f>IF(ISBLANK(V134),"","&lt;a href='")</f>
        <v/>
      </c>
      <c r="V134" s="13" t="inlineStr">
        <is>
          <t>https://legislature.idaho.gov/sessioninfo/rs/</t>
        </is>
      </c>
      <c r="W134" s="17">
        <f>IF(ISBLANK(V134),"","'&gt;")</f>
        <v/>
      </c>
      <c r="X134" s="12" t="inlineStr">
        <is>
          <t>Supplemental</t>
        </is>
      </c>
      <c r="Y134" s="17">
        <f>IF(ISBLANK(X134),"","&lt;/a&gt;")</f>
        <v/>
      </c>
      <c r="Z134" s="42">
        <f>IF(ISBLANK(X134),"",IF(OR(AB134="PASSED",ISBLANK(N134)),"&lt;/b&gt;","&lt;/i&gt;"))</f>
        <v/>
      </c>
      <c r="AA134" s="43">
        <f>IF(AB134="PASSED","&lt;b&gt;","")</f>
        <v/>
      </c>
      <c r="AB134" s="45" t="inlineStr">
        <is>
          <t>INTRODUCED</t>
        </is>
      </c>
      <c r="AC134" s="43">
        <f>IF(AB134="PASSED","&lt;/b&gt;","")</f>
        <v/>
      </c>
      <c r="AD134" s="43">
        <f>IF(ISBLANK(AE134),"","&lt;b&gt;")</f>
        <v/>
      </c>
      <c r="AE134" s="51" t="inlineStr">
        <is>
          <t>03/10</t>
        </is>
      </c>
      <c r="AF134" s="42">
        <f>IF(ISBLANK(AE134),"",": ")</f>
        <v/>
      </c>
      <c r="AG134" s="42" t="inlineStr">
        <is>
          <t>JFAC Budget Setting</t>
        </is>
      </c>
      <c r="AH134" s="42">
        <f>IF(ISBLANK(AE134),"","&lt;/b&gt;")</f>
        <v/>
      </c>
      <c r="AI134" s="42" t="n"/>
      <c r="AJ134" s="42">
        <f>IF(ISBLANK(AI134),"","&lt;br&gt;"&amp;AI134)</f>
        <v/>
      </c>
      <c r="AK134" s="42" t="n"/>
      <c r="AL134" s="42" t="n"/>
      <c r="AM134" s="42" t="n"/>
      <c r="AN134" s="42">
        <f>IF(ISBLANK(AM134),"","&lt;/i&gt;")</f>
        <v/>
      </c>
      <c r="AO134" s="35">
        <f>IF(ISBLANK(AQ134),"","&lt;/b&gt;&lt;br&gt;&lt;br&gt;")</f>
        <v/>
      </c>
      <c r="AP134" s="42">
        <f>IF(ISBLANK(AQ134),"","&lt;b&gt;")</f>
        <v/>
      </c>
      <c r="AQ134" s="42" t="n"/>
      <c r="AR134" s="4" t="n"/>
      <c r="AS134" s="4">
        <f>IF(ISBLANK(AR134),""," %")</f>
        <v/>
      </c>
      <c r="AT134" s="4">
        <f t="array" ref="AT134">_xlfn.IFS(NOT(ISBLANK(AU134))," (pgs. ",NOT(ISBLANK(AS134))," (pg. ", ISBLANK(AS134), "")</f>
        <v/>
      </c>
      <c r="AU134" s="52" t="n"/>
      <c r="AV134" s="4">
        <f>IF(ISBLANK(AW134),"",", ")</f>
        <v/>
      </c>
      <c r="AW134" s="42" t="n"/>
      <c r="AX134" s="4">
        <f>IF(ISBLANK(AY134),"",",&lt;br&gt;")</f>
        <v/>
      </c>
      <c r="AY134" s="42" t="n"/>
      <c r="AZ134" s="49">
        <f>IF(ISBLANK(AU134),"",")&lt;/b&gt;")</f>
        <v/>
      </c>
      <c r="BA134" s="4">
        <f>IF(ISBLANK(BC134),"","&lt;br&gt;")</f>
        <v/>
      </c>
      <c r="BB134" s="42">
        <f t="array" ref="BB134">IF(ISBLANK(BC134),"",_xlfn.LET(
_xlpm.words,_xlfn.TEXTSPLIT(TRIM(BC134),"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34" s="42" t="n"/>
    </row>
    <row r="135">
      <c r="A135" s="20">
        <f>_xlfn.TEXTJOIN("", TRUE, F135:H135)</f>
        <v/>
      </c>
      <c r="B135" s="21">
        <f>_xlfn.TEXTJOIN("", TRUE, I135:S135)</f>
        <v/>
      </c>
      <c r="C135" s="21">
        <f>IF(ISBLANK(X135),"", _xlfn.TEXTJOIN("",TRUE,T135:Z135))</f>
        <v/>
      </c>
      <c r="D135" s="21">
        <f>IF(ISBLANK(AB135), "", _xlfn.TEXTJOIN("", TRUE, AA135:AC135))</f>
        <v/>
      </c>
      <c r="E135" s="22">
        <f>IF(AU135="NA", _xlfn.TEXTJOIN("", TRUE, AD135:AH135), _xlfn.TEXTJOIN("", TRUE, AD135:AJ135))</f>
        <v/>
      </c>
      <c r="F135" s="42">
        <f>IF(LEFT(G135,4)="FY26","&lt;b&gt;","&lt;i&gt;")</f>
        <v/>
      </c>
      <c r="G135" s="42" t="inlineStr">
        <is>
          <t>FY26 Supplemental</t>
        </is>
      </c>
      <c r="H135" s="42">
        <f>IF(LEFT(G135,4)="FY26","&lt;/b&gt;","&lt;/i&gt;")</f>
        <v/>
      </c>
      <c r="I135" s="43" t="inlineStr">
        <is>
          <t>&lt;i&gt;</t>
        </is>
      </c>
      <c r="J135" s="44" t="inlineStr">
        <is>
          <t>Natural Resources</t>
        </is>
      </c>
      <c r="K135" s="44" t="inlineStr">
        <is>
          <t>&lt;/i&gt;</t>
        </is>
      </c>
      <c r="L135" s="4">
        <f>IF(ISBLANK(N135),"","&lt;br&gt;")</f>
        <v/>
      </c>
      <c r="M135" s="42">
        <f>IF(ISBLANK(R135),"&lt;b&gt;","&lt;i&gt;")</f>
        <v/>
      </c>
      <c r="N135" s="42" t="inlineStr">
        <is>
          <t>Land Board</t>
        </is>
      </c>
      <c r="O135" s="42">
        <f>IF(ISBLANK(R135),"&lt;/b&gt;","&lt;/i&gt;")</f>
        <v/>
      </c>
      <c r="P135" s="4">
        <f>IF(ISBLANK(R135),"","&lt;br&gt;")</f>
        <v/>
      </c>
      <c r="Q135" s="42">
        <f>IF(ISBLANK(R135),"","&lt;b&gt;")</f>
        <v/>
      </c>
      <c r="R135" s="42" t="inlineStr">
        <is>
          <t>Dept. of Lands</t>
        </is>
      </c>
      <c r="S135" s="42">
        <f>IF(ISBLANK(R135),"","&lt;/i&gt;")</f>
        <v/>
      </c>
      <c r="T135" s="42">
        <f>IF(ISBLANK(X135),"",IF(OR(AB135="PASSED",ISBLANK(N135)),"&lt;b&gt;","&lt;i&gt;"))</f>
        <v/>
      </c>
      <c r="U135" s="3">
        <f>IF(ISBLANK(V135),"","&lt;a href='")</f>
        <v/>
      </c>
      <c r="V135" s="13" t="inlineStr">
        <is>
          <t>https://legislature.idaho.gov/sessioninfo/rs/</t>
        </is>
      </c>
      <c r="W135" s="17">
        <f>IF(ISBLANK(V135),"","'&gt;")</f>
        <v/>
      </c>
      <c r="X135" s="12" t="inlineStr">
        <is>
          <t>Supplemental</t>
        </is>
      </c>
      <c r="Y135" s="17">
        <f>IF(ISBLANK(X135),"","&lt;/a&gt;")</f>
        <v/>
      </c>
      <c r="Z135" s="42">
        <f>IF(ISBLANK(X135),"",IF(OR(AB135="PASSED",ISBLANK(N135)),"&lt;/b&gt;","&lt;/i&gt;"))</f>
        <v/>
      </c>
      <c r="AA135" s="43">
        <f>IF(AB135="PASSED","&lt;b&gt;","")</f>
        <v/>
      </c>
      <c r="AB135" s="45" t="inlineStr">
        <is>
          <t>INTRODUCED</t>
        </is>
      </c>
      <c r="AC135" s="43">
        <f>IF(AB135="PASSED","&lt;/b&gt;","")</f>
        <v/>
      </c>
      <c r="AD135" s="43">
        <f>IF(ISBLANK(AE135),"","&lt;b&gt;")</f>
        <v/>
      </c>
      <c r="AE135" s="51" t="inlineStr">
        <is>
          <t>03/09</t>
        </is>
      </c>
      <c r="AF135" s="42">
        <f>IF(ISBLANK(AE135),"",": ")</f>
        <v/>
      </c>
      <c r="AG135" s="42" t="inlineStr">
        <is>
          <t>JFAC Budget Setting</t>
        </is>
      </c>
      <c r="AH135" s="42">
        <f>IF(ISBLANK(AE135),"","&lt;/b&gt;")</f>
        <v/>
      </c>
      <c r="AI135" s="42" t="n"/>
      <c r="AJ135" s="42">
        <f>IF(ISBLANK(AI135),"","&lt;br&gt;"&amp;AI135)</f>
        <v/>
      </c>
      <c r="AK135" s="42" t="n"/>
      <c r="AL135" s="42" t="n"/>
      <c r="AM135" s="42" t="n"/>
      <c r="AN135" s="42">
        <f>IF(ISBLANK(AM135),"","&lt;/i&gt;")</f>
        <v/>
      </c>
      <c r="AO135" s="35">
        <f>IF(ISBLANK(AQ135),"","&lt;/b&gt;&lt;br&gt;&lt;br&gt;")</f>
        <v/>
      </c>
      <c r="AP135" s="42">
        <f>IF(ISBLANK(AQ135),"","&lt;b&gt;")</f>
        <v/>
      </c>
      <c r="AQ135" s="42" t="n"/>
      <c r="AR135" s="4" t="n"/>
      <c r="AS135" s="4">
        <f>IF(ISBLANK(AR135),""," %")</f>
        <v/>
      </c>
      <c r="AT135" s="4">
        <f t="array" ref="AT135">_xlfn.IFS(NOT(ISBLANK(AU135))," (pgs. ",NOT(ISBLANK(AS135))," (pg. ", ISBLANK(AS135), "")</f>
        <v/>
      </c>
      <c r="AU135" s="42" t="n"/>
      <c r="AV135" s="4">
        <f>IF(ISBLANK(AW135),"",", ")</f>
        <v/>
      </c>
      <c r="AW135" s="42" t="n"/>
      <c r="AX135" s="4">
        <f>IF(ISBLANK(AY135),"",",&lt;br&gt;")</f>
        <v/>
      </c>
      <c r="AY135" s="42" t="n"/>
      <c r="AZ135" s="49">
        <f>IF(ISBLANK(AU135),"",")&lt;/b&gt;")</f>
        <v/>
      </c>
      <c r="BA135" s="4">
        <f>IF(ISBLANK(BC135),"","&lt;br&gt;")</f>
        <v/>
      </c>
      <c r="BB135" s="42">
        <f t="array" ref="BB135">IF(ISBLANK(BC135),"",_xlfn.LET(
_xlpm.words,_xlfn.TEXTSPLIT(TRIM(BC135),"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35" s="50" t="n"/>
    </row>
    <row r="136">
      <c r="A136" s="20">
        <f>_xlfn.TEXTJOIN("", TRUE, F136:H136)</f>
        <v/>
      </c>
      <c r="B136" s="21">
        <f>_xlfn.TEXTJOIN("", TRUE, I136:S136)</f>
        <v/>
      </c>
      <c r="C136" s="21">
        <f>IF(ISBLANK(X136),"", _xlfn.TEXTJOIN("",TRUE,T136:Z136))</f>
        <v/>
      </c>
      <c r="D136" s="21">
        <f>IF(ISBLANK(AB136), "", _xlfn.TEXTJOIN("", TRUE, AA136:AC136))</f>
        <v/>
      </c>
      <c r="E136" s="22">
        <f>IF(AU136="NA", _xlfn.TEXTJOIN("", TRUE, AD136:AH136), _xlfn.TEXTJOIN("", TRUE, AD136:AJ136))</f>
        <v/>
      </c>
      <c r="F136" s="42">
        <f>IF(LEFT(G136,4)="FY26","&lt;b&gt;","&lt;i&gt;")</f>
        <v/>
      </c>
      <c r="G136" s="42" t="inlineStr">
        <is>
          <t>FY26 Supplemental</t>
        </is>
      </c>
      <c r="H136" s="42">
        <f>IF(LEFT(G136,4)="FY26","&lt;/b&gt;","&lt;/i&gt;")</f>
        <v/>
      </c>
      <c r="I136" s="43" t="inlineStr">
        <is>
          <t>&lt;i&gt;</t>
        </is>
      </c>
      <c r="J136" s="44" t="inlineStr">
        <is>
          <t>Health &amp; Human Services</t>
        </is>
      </c>
      <c r="K136" s="44" t="inlineStr">
        <is>
          <t>&lt;/i&gt;</t>
        </is>
      </c>
      <c r="L136" s="4">
        <f>IF(ISBLANK(N136),"","&lt;br&gt;")</f>
        <v/>
      </c>
      <c r="M136" s="42">
        <f>IF(ISBLANK(R136),"&lt;b&gt;","&lt;i&gt;")</f>
        <v/>
      </c>
      <c r="N136" s="42" t="inlineStr">
        <is>
          <t>Dept. of Health &amp; Welfare</t>
        </is>
      </c>
      <c r="O136" s="42">
        <f>IF(ISBLANK(R136),"&lt;/b&gt;","&lt;/i&gt;")</f>
        <v/>
      </c>
      <c r="P136" s="4">
        <f>IF(ISBLANK(R136),"","&lt;br&gt;")</f>
        <v/>
      </c>
      <c r="Q136" s="42">
        <f>IF(ISBLANK(R136),"","&lt;b&gt;")</f>
        <v/>
      </c>
      <c r="R136" s="42" t="inlineStr">
        <is>
          <t>Div. of Medicaid</t>
        </is>
      </c>
      <c r="S136" s="42">
        <f>IF(ISBLANK(R136),"","&lt;/i&gt;")</f>
        <v/>
      </c>
      <c r="T136" s="42">
        <f>IF(ISBLANK(X136),"",IF(OR(AB136="PASSED",ISBLANK(N136)),"&lt;b&gt;","&lt;i&gt;"))</f>
        <v/>
      </c>
      <c r="U136" s="3">
        <f>IF(ISBLANK(V136),"","&lt;a href='")</f>
        <v/>
      </c>
      <c r="V136" s="13" t="inlineStr">
        <is>
          <t>https://legislature.idaho.gov/sessioninfo/rs/</t>
        </is>
      </c>
      <c r="W136" s="17">
        <f>IF(ISBLANK(V136),"","'&gt;")</f>
        <v/>
      </c>
      <c r="X136" s="12" t="inlineStr">
        <is>
          <t>Supplemental</t>
        </is>
      </c>
      <c r="Y136" s="17">
        <f>IF(ISBLANK(X136),"","&lt;/a&gt;")</f>
        <v/>
      </c>
      <c r="Z136" s="42">
        <f>IF(ISBLANK(X136),"",IF(OR(AB136="PASSED",ISBLANK(N136)),"&lt;/b&gt;","&lt;/i&gt;"))</f>
        <v/>
      </c>
      <c r="AA136" s="43">
        <f>IF(AB136="PASSED","&lt;b&gt;","")</f>
        <v/>
      </c>
      <c r="AB136" s="45" t="inlineStr">
        <is>
          <t>INTRODUCED</t>
        </is>
      </c>
      <c r="AC136" s="43">
        <f>IF(AB136="PASSED","&lt;/b&gt;","")</f>
        <v/>
      </c>
      <c r="AD136" s="43">
        <f>IF(ISBLANK(AE136),"","&lt;b&gt;")</f>
        <v/>
      </c>
      <c r="AE136" s="51" t="inlineStr">
        <is>
          <t>03/06</t>
        </is>
      </c>
      <c r="AF136" s="42">
        <f>IF(ISBLANK(AE136),"",": ")</f>
        <v/>
      </c>
      <c r="AG136" s="42" t="inlineStr">
        <is>
          <t>JFAC Budget Setting</t>
        </is>
      </c>
      <c r="AH136" s="42">
        <f>IF(ISBLANK(AE136),"","&lt;/b&gt;")</f>
        <v/>
      </c>
      <c r="AI136" s="42" t="n"/>
      <c r="AJ136" s="42">
        <f>IF(ISBLANK(AI136),"","&lt;br&gt;"&amp;AI136)</f>
        <v/>
      </c>
      <c r="AK136" s="42" t="n"/>
      <c r="AL136" s="42" t="n"/>
      <c r="AM136" s="42" t="n"/>
      <c r="AN136" s="42">
        <f>IF(ISBLANK(AM136),"","&lt;/i&gt;")</f>
        <v/>
      </c>
      <c r="AO136" s="35">
        <f>IF(ISBLANK(AQ136),"","&lt;/b&gt;&lt;br&gt;&lt;br&gt;")</f>
        <v/>
      </c>
      <c r="AP136" s="42">
        <f>IF(ISBLANK(AQ136),"","&lt;b&gt;")</f>
        <v/>
      </c>
      <c r="AQ136" s="42" t="n"/>
      <c r="AR136" s="4" t="n"/>
      <c r="AS136" s="4">
        <f>IF(ISBLANK(AR136),""," %")</f>
        <v/>
      </c>
      <c r="AT136" s="4">
        <f t="array" ref="AT136">_xlfn.IFS(NOT(ISBLANK(AU136))," (pgs. ",NOT(ISBLANK(AS136))," (pg. ", ISBLANK(AS136), "")</f>
        <v/>
      </c>
      <c r="AU136" s="42" t="n"/>
      <c r="AV136" s="4">
        <f>IF(ISBLANK(AW136),"",", ")</f>
        <v/>
      </c>
      <c r="AW136" s="42" t="n"/>
      <c r="AX136" s="4">
        <f>IF(ISBLANK(AY136),"",",&lt;br&gt;")</f>
        <v/>
      </c>
      <c r="AY136" s="42" t="n"/>
      <c r="AZ136" s="49">
        <f>IF(ISBLANK(AU136),"",")&lt;/b&gt;")</f>
        <v/>
      </c>
      <c r="BA136" s="4">
        <f>IF(ISBLANK(BC136),"","&lt;br&gt;")</f>
        <v/>
      </c>
      <c r="BB136" s="42">
        <f t="array" ref="BB136">IF(ISBLANK(BC136),"",_xlfn.LET(
_xlpm.words,_xlfn.TEXTSPLIT(TRIM(BC136),"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36" s="50" t="n"/>
    </row>
    <row r="137">
      <c r="A137" s="20">
        <f>_xlfn.TEXTJOIN("", TRUE, F137:H137)</f>
        <v/>
      </c>
      <c r="B137" s="21">
        <f>_xlfn.TEXTJOIN("", TRUE, I137:S137)</f>
        <v/>
      </c>
      <c r="C137" s="21">
        <f>IF(ISBLANK(X137),"", _xlfn.TEXTJOIN("",TRUE,T137:Z137))</f>
        <v/>
      </c>
      <c r="D137" s="21">
        <f>IF(ISBLANK(AB137), "", _xlfn.TEXTJOIN("", TRUE, AA137:AC137))</f>
        <v/>
      </c>
      <c r="E137" s="22">
        <f>IF(AU137="NA", _xlfn.TEXTJOIN("", TRUE, AD137:AH137), _xlfn.TEXTJOIN("", TRUE, AD137:AJ137))</f>
        <v/>
      </c>
      <c r="F137" s="42">
        <f>IF(LEFT(G137,4)="FY26","&lt;b&gt;","&lt;i&gt;")</f>
        <v/>
      </c>
      <c r="G137" s="42" t="inlineStr">
        <is>
          <t>FY26 Supplemental</t>
        </is>
      </c>
      <c r="H137" s="42">
        <f>IF(LEFT(G137,4)="FY26","&lt;/b&gt;","&lt;/i&gt;")</f>
        <v/>
      </c>
      <c r="I137" s="43" t="inlineStr">
        <is>
          <t>&lt;i&gt;</t>
        </is>
      </c>
      <c r="J137" s="44" t="inlineStr">
        <is>
          <t>Health &amp; Human Services</t>
        </is>
      </c>
      <c r="K137" s="44" t="inlineStr">
        <is>
          <t>&lt;/i&gt;</t>
        </is>
      </c>
      <c r="L137" s="4">
        <f>IF(ISBLANK(N137),"","&lt;br&gt;")</f>
        <v/>
      </c>
      <c r="M137" s="42">
        <f>IF(ISBLANK(R137),"&lt;b&gt;","&lt;i&gt;")</f>
        <v/>
      </c>
      <c r="N137" s="42" t="inlineStr">
        <is>
          <t>Dept. of Health &amp; Welfare</t>
        </is>
      </c>
      <c r="O137" s="42">
        <f>IF(ISBLANK(R137),"&lt;/b&gt;","&lt;/i&gt;")</f>
        <v/>
      </c>
      <c r="P137" s="4">
        <f>IF(ISBLANK(R137),"","&lt;br&gt;")</f>
        <v/>
      </c>
      <c r="Q137" s="42">
        <f>IF(ISBLANK(R137),"","&lt;b&gt;")</f>
        <v/>
      </c>
      <c r="R137" s="42" t="inlineStr">
        <is>
          <t>Child Welfare</t>
        </is>
      </c>
      <c r="S137" s="42">
        <f>IF(ISBLANK(R137),"","&lt;/i&gt;")</f>
        <v/>
      </c>
      <c r="T137" s="42">
        <f>IF(ISBLANK(X137),"",IF(OR(AB137="PASSED",ISBLANK(N137)),"&lt;b&gt;","&lt;i&gt;"))</f>
        <v/>
      </c>
      <c r="U137" s="3">
        <f>IF(ISBLANK(V137),"","&lt;a href='")</f>
        <v/>
      </c>
      <c r="V137" s="13" t="inlineStr">
        <is>
          <t>https://legislature.idaho.gov/sessioninfo/rs/</t>
        </is>
      </c>
      <c r="W137" s="17">
        <f>IF(ISBLANK(V137),"","'&gt;")</f>
        <v/>
      </c>
      <c r="X137" s="12" t="inlineStr">
        <is>
          <t>Supplemental</t>
        </is>
      </c>
      <c r="Y137" s="17">
        <f>IF(ISBLANK(X137),"","&lt;/a&gt;")</f>
        <v/>
      </c>
      <c r="Z137" s="42">
        <f>IF(ISBLANK(X137),"",IF(OR(AB137="PASSED",ISBLANK(N137)),"&lt;/b&gt;","&lt;/i&gt;"))</f>
        <v/>
      </c>
      <c r="AA137" s="43">
        <f>IF(AB137="PASSED","&lt;b&gt;","")</f>
        <v/>
      </c>
      <c r="AB137" s="45" t="inlineStr">
        <is>
          <t>INTRODUCED</t>
        </is>
      </c>
      <c r="AC137" s="43">
        <f>IF(AB137="PASSED","&lt;/b&gt;","")</f>
        <v/>
      </c>
      <c r="AD137" s="43">
        <f>IF(ISBLANK(AE137),"","&lt;b&gt;")</f>
        <v/>
      </c>
      <c r="AE137" s="51" t="inlineStr">
        <is>
          <t>03/04</t>
        </is>
      </c>
      <c r="AF137" s="42">
        <f>IF(ISBLANK(AE137),"",": ")</f>
        <v/>
      </c>
      <c r="AG137" s="42" t="inlineStr">
        <is>
          <t>JFAC Budget Setting</t>
        </is>
      </c>
      <c r="AH137" s="42">
        <f>IF(ISBLANK(AE137),"","&lt;/b&gt;")</f>
        <v/>
      </c>
      <c r="AI137" s="42" t="n"/>
      <c r="AJ137" s="42">
        <f>IF(ISBLANK(AI137),"","&lt;br&gt;"&amp;AI137)</f>
        <v/>
      </c>
      <c r="AK137" s="42" t="n"/>
      <c r="AL137" s="42" t="n"/>
      <c r="AM137" s="42" t="n"/>
      <c r="AN137" s="42">
        <f>IF(ISBLANK(AM137),"","&lt;/i&gt;")</f>
        <v/>
      </c>
      <c r="AO137" s="54">
        <f>IF(ISBLANK(AQ137),"","&lt;/b&gt;&lt;br&gt;&lt;br&gt;")</f>
        <v/>
      </c>
      <c r="AP137" s="42">
        <f>IF(ISBLANK(AQ137),"","&lt;b&gt;")</f>
        <v/>
      </c>
      <c r="AQ137" s="42" t="n"/>
      <c r="AR137" s="42" t="n"/>
      <c r="AS137" s="42">
        <f>IF(ISBLANK(AR137),""," %")</f>
        <v/>
      </c>
      <c r="AT137" s="42">
        <f t="array" ref="AT137">_xlfn.IFS(NOT(ISBLANK(AU137))," (pgs. ",NOT(ISBLANK(AS137))," (pg. ", ISBLANK(AS137), "")</f>
        <v/>
      </c>
      <c r="AU137" s="42" t="n"/>
      <c r="AV137" s="42">
        <f>IF(ISBLANK(AW137),"",", ")</f>
        <v/>
      </c>
      <c r="AW137" s="42" t="n"/>
      <c r="AX137" s="42">
        <f>IF(ISBLANK(AY137),"",",&lt;br&gt;")</f>
        <v/>
      </c>
      <c r="AY137" s="42" t="n"/>
      <c r="AZ137" s="42">
        <f>IF(ISBLANK(AU137),"",")&lt;/b&gt;")</f>
        <v/>
      </c>
      <c r="BA137" s="42">
        <f>IF(ISBLANK(BC137),"","&lt;br&gt;")</f>
        <v/>
      </c>
      <c r="BB137" s="42">
        <f t="array" ref="BB137">IF(ISBLANK(BC137),"",_xlfn.LET(
_xlpm.words,_xlfn.TEXTSPLIT(TRIM(BC137),"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37" s="42" t="n"/>
    </row>
    <row r="138">
      <c r="A138" s="20">
        <f>_xlfn.TEXTJOIN("", TRUE, F138:H138)</f>
        <v/>
      </c>
      <c r="B138" s="21">
        <f>_xlfn.TEXTJOIN("", TRUE, I138:S138)</f>
        <v/>
      </c>
      <c r="C138" s="21">
        <f>IF(ISBLANK(X138),"", _xlfn.TEXTJOIN("",TRUE,T138:Z138))</f>
        <v/>
      </c>
      <c r="D138" s="21">
        <f>IF(ISBLANK(AB138), "", _xlfn.TEXTJOIN("", TRUE, AA138:AC138))</f>
        <v/>
      </c>
      <c r="E138" s="22">
        <f>IF(AU138="NA", _xlfn.TEXTJOIN("", TRUE, AD138:AH138), _xlfn.TEXTJOIN("", TRUE, AD138:AJ138))</f>
        <v/>
      </c>
      <c r="F138" s="42">
        <f>IF(LEFT(G138,4)="FY26","&lt;b&gt;","&lt;i&gt;")</f>
        <v/>
      </c>
      <c r="G138" s="42" t="inlineStr">
        <is>
          <t>FY26 Supplemental</t>
        </is>
      </c>
      <c r="H138" s="42">
        <f>IF(LEFT(G138,4)="FY26","&lt;/b&gt;","&lt;/i&gt;")</f>
        <v/>
      </c>
      <c r="I138" s="43" t="inlineStr">
        <is>
          <t>&lt;i&gt;</t>
        </is>
      </c>
      <c r="J138" s="44" t="inlineStr">
        <is>
          <t>Natural Resources</t>
        </is>
      </c>
      <c r="K138" s="44" t="inlineStr">
        <is>
          <t>&lt;/i&gt;</t>
        </is>
      </c>
      <c r="L138" s="4">
        <f>IF(ISBLANK(N138),"","&lt;br&gt;")</f>
        <v/>
      </c>
      <c r="M138" s="42">
        <f>IF(ISBLANK(R138),"&lt;b&gt;","&lt;i&gt;")</f>
        <v/>
      </c>
      <c r="N138" s="42" t="inlineStr">
        <is>
          <t>Dept. of Parks &amp; Recreation</t>
        </is>
      </c>
      <c r="O138" s="42">
        <f>IF(ISBLANK(R138),"&lt;/b&gt;","&lt;/i&gt;")</f>
        <v/>
      </c>
      <c r="P138" s="4">
        <f>IF(ISBLANK(R138),"","&lt;br&gt;")</f>
        <v/>
      </c>
      <c r="Q138" s="42">
        <f>IF(ISBLANK(R138),"","&lt;b&gt;")</f>
        <v/>
      </c>
      <c r="R138" s="42" t="n"/>
      <c r="S138" s="42">
        <f>IF(ISBLANK(R138),"","&lt;/i&gt;")</f>
        <v/>
      </c>
      <c r="T138" s="42">
        <f>IF(ISBLANK(X138),"",IF(OR(AB138="PASSED",ISBLANK(N138)),"&lt;b&gt;","&lt;i&gt;"))</f>
        <v/>
      </c>
      <c r="U138" s="3">
        <f>IF(ISBLANK(V138),"","&lt;a href='")</f>
        <v/>
      </c>
      <c r="V138" s="13" t="inlineStr">
        <is>
          <t>https://legislature.idaho.gov/sessioninfo/rs/</t>
        </is>
      </c>
      <c r="W138" s="17">
        <f>IF(ISBLANK(V138),"","'&gt;")</f>
        <v/>
      </c>
      <c r="X138" s="12" t="inlineStr">
        <is>
          <t>Supplemental</t>
        </is>
      </c>
      <c r="Y138" s="17">
        <f>IF(ISBLANK(X138),"","&lt;/a&gt;")</f>
        <v/>
      </c>
      <c r="Z138" s="42">
        <f>IF(ISBLANK(X138),"",IF(OR(AB138="PASSED",ISBLANK(N138)),"&lt;/b&gt;","&lt;/i&gt;"))</f>
        <v/>
      </c>
      <c r="AA138" s="43">
        <f>IF(AB138="PASSED","&lt;b&gt;","")</f>
        <v/>
      </c>
      <c r="AB138" s="45" t="inlineStr">
        <is>
          <t>INTRODUCED</t>
        </is>
      </c>
      <c r="AC138" s="43">
        <f>IF(AB138="PASSED","&lt;/b&gt;","")</f>
        <v/>
      </c>
      <c r="AD138" s="43">
        <f>IF(ISBLANK(AE138),"","&lt;b&gt;")</f>
        <v/>
      </c>
      <c r="AE138" s="51" t="inlineStr">
        <is>
          <t>03/04</t>
        </is>
      </c>
      <c r="AF138" s="42">
        <f>IF(ISBLANK(AE138),"",": ")</f>
        <v/>
      </c>
      <c r="AG138" s="42" t="inlineStr">
        <is>
          <t>JFAC Budget Setting</t>
        </is>
      </c>
      <c r="AH138" s="42">
        <f>IF(ISBLANK(AE138),"","&lt;/b&gt;")</f>
        <v/>
      </c>
      <c r="AI138" s="42" t="n"/>
      <c r="AJ138" s="42">
        <f>IF(ISBLANK(AI138),"","&lt;br&gt;"&amp;AI138)</f>
        <v/>
      </c>
      <c r="AK138" s="42" t="n"/>
      <c r="AL138" s="42" t="n"/>
      <c r="AM138" s="42" t="n"/>
      <c r="AN138" s="42">
        <f>IF(ISBLANK(AM138),"","&lt;/i&gt;")</f>
        <v/>
      </c>
      <c r="AO138" s="54">
        <f>IF(ISBLANK(AQ138),"","&lt;/b&gt;&lt;br&gt;&lt;br&gt;")</f>
        <v/>
      </c>
      <c r="AP138" s="42">
        <f>IF(ISBLANK(AQ138),"","&lt;b&gt;")</f>
        <v/>
      </c>
      <c r="AQ138" s="42" t="n"/>
      <c r="AR138" s="42" t="n"/>
      <c r="AS138" s="42">
        <f>IF(ISBLANK(AR138),""," %")</f>
        <v/>
      </c>
      <c r="AT138" s="42">
        <f t="array" ref="AT138">_xlfn.IFS(NOT(ISBLANK(AU138))," (pgs. ",NOT(ISBLANK(AS138))," (pg. ", ISBLANK(AS138), "")</f>
        <v/>
      </c>
      <c r="AU138" s="42" t="n"/>
      <c r="AV138" s="42">
        <f>IF(ISBLANK(AW138),"",", ")</f>
        <v/>
      </c>
      <c r="AW138" s="42" t="n"/>
      <c r="AX138" s="42">
        <f>IF(ISBLANK(AY138),"",",&lt;br&gt;")</f>
        <v/>
      </c>
      <c r="AY138" s="42" t="n"/>
      <c r="AZ138" s="42">
        <f>IF(ISBLANK(AU138),"",")&lt;/b&gt;")</f>
        <v/>
      </c>
      <c r="BA138" s="42">
        <f>IF(ISBLANK(BC138),"","&lt;br&gt;")</f>
        <v/>
      </c>
      <c r="BB138" s="42">
        <f t="array" ref="BB138">IF(ISBLANK(BC138),"",_xlfn.LET(
_xlpm.words,_xlfn.TEXTSPLIT(TRIM(BC138),"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38" s="42" t="n"/>
    </row>
    <row r="139">
      <c r="A139" s="20">
        <f>_xlfn.TEXTJOIN("", TRUE, F139:H139)</f>
        <v/>
      </c>
      <c r="B139" s="21">
        <f>_xlfn.TEXTJOIN("", TRUE, I139:S139)</f>
        <v/>
      </c>
      <c r="C139" s="21">
        <f>IF(ISBLANK(X139),"", _xlfn.TEXTJOIN("",TRUE,T139:Z139))</f>
        <v/>
      </c>
      <c r="D139" s="21">
        <f>IF(ISBLANK(AB139), "", _xlfn.TEXTJOIN("", TRUE, AA139:AC139))</f>
        <v/>
      </c>
      <c r="E139" s="22">
        <f>IF(AU139="NA", _xlfn.TEXTJOIN("", TRUE, AD139:AH139), _xlfn.TEXTJOIN("", TRUE, AD139:AJ139))</f>
        <v/>
      </c>
      <c r="F139" s="42">
        <f>IF(LEFT(G139,4)="FY26","&lt;b&gt;","&lt;i&gt;")</f>
        <v/>
      </c>
      <c r="G139" s="42" t="inlineStr">
        <is>
          <t>FY26 Supplemental</t>
        </is>
      </c>
      <c r="H139" s="42">
        <f>IF(LEFT(G139,4)="FY26","&lt;/b&gt;","&lt;/i&gt;")</f>
        <v/>
      </c>
      <c r="I139" s="43" t="inlineStr">
        <is>
          <t>&lt;i&gt;</t>
        </is>
      </c>
      <c r="J139" s="44" t="inlineStr">
        <is>
          <t>Natural Resources</t>
        </is>
      </c>
      <c r="K139" s="44" t="inlineStr">
        <is>
          <t>&lt;/i&gt;</t>
        </is>
      </c>
      <c r="L139" s="4">
        <f>IF(ISBLANK(N139),"","&lt;br&gt;")</f>
        <v/>
      </c>
      <c r="M139" s="42">
        <f>IF(ISBLANK(R139),"&lt;b&gt;","&lt;i&gt;")</f>
        <v/>
      </c>
      <c r="N139" s="42" t="inlineStr">
        <is>
          <t>Land Board</t>
        </is>
      </c>
      <c r="O139" s="42">
        <f>IF(ISBLANK(R139),"&lt;/b&gt;","&lt;/i&gt;")</f>
        <v/>
      </c>
      <c r="P139" s="4">
        <f>IF(ISBLANK(R139),"","&lt;br&gt;")</f>
        <v/>
      </c>
      <c r="Q139" s="42">
        <f>IF(ISBLANK(R139),"","&lt;b&gt;")</f>
        <v/>
      </c>
      <c r="R139" s="42" t="inlineStr">
        <is>
          <t>Dept. of Lands</t>
        </is>
      </c>
      <c r="S139" s="42">
        <f>IF(ISBLANK(R139),"","&lt;/i&gt;")</f>
        <v/>
      </c>
      <c r="T139" s="42">
        <f>IF(ISBLANK(X139),"",IF(OR(AB139="PASSED",ISBLANK(N139)),"&lt;b&gt;","&lt;i&gt;"))</f>
        <v/>
      </c>
      <c r="U139" s="3">
        <f>IF(ISBLANK(V139),"","&lt;a href='")</f>
        <v/>
      </c>
      <c r="V139" s="13" t="inlineStr">
        <is>
          <t>https://legislature.idaho.gov/sessioninfo/rs/</t>
        </is>
      </c>
      <c r="W139" s="17">
        <f>IF(ISBLANK(V139),"","'&gt;")</f>
        <v/>
      </c>
      <c r="X139" s="12" t="inlineStr">
        <is>
          <t>Supplemental</t>
        </is>
      </c>
      <c r="Y139" s="17">
        <f>IF(ISBLANK(X139),"","&lt;/a&gt;")</f>
        <v/>
      </c>
      <c r="Z139" s="42">
        <f>IF(ISBLANK(X139),"",IF(OR(AB139="PASSED",ISBLANK(N139)),"&lt;/b&gt;","&lt;/i&gt;"))</f>
        <v/>
      </c>
      <c r="AA139" s="43">
        <f>IF(AB139="PASSED","&lt;b&gt;","")</f>
        <v/>
      </c>
      <c r="AB139" s="45" t="inlineStr">
        <is>
          <t>INTRODUCED</t>
        </is>
      </c>
      <c r="AC139" s="43">
        <f>IF(AB139="PASSED","&lt;/b&gt;","")</f>
        <v/>
      </c>
      <c r="AD139" s="43">
        <f>IF(ISBLANK(AE139),"","&lt;b&gt;")</f>
        <v/>
      </c>
      <c r="AE139" s="51" t="inlineStr">
        <is>
          <t>03/04</t>
        </is>
      </c>
      <c r="AF139" s="42">
        <f>IF(ISBLANK(AE139),"",": ")</f>
        <v/>
      </c>
      <c r="AG139" s="42" t="inlineStr">
        <is>
          <t>JFAC Budget Setting</t>
        </is>
      </c>
      <c r="AH139" s="42">
        <f>IF(ISBLANK(AE139),"","&lt;/b&gt;")</f>
        <v/>
      </c>
      <c r="AI139" s="42" t="n"/>
      <c r="AJ139" s="42">
        <f>IF(ISBLANK(AI139),"","&lt;br&gt;"&amp;AI139)</f>
        <v/>
      </c>
      <c r="AK139" s="42" t="n"/>
      <c r="AL139" s="42" t="n"/>
      <c r="AM139" s="42" t="n"/>
      <c r="AN139" s="42">
        <f>IF(ISBLANK(AM139),"","&lt;/i&gt;")</f>
        <v/>
      </c>
      <c r="AO139" s="54">
        <f>IF(ISBLANK(AQ139),"","&lt;/b&gt;&lt;br&gt;&lt;br&gt;")</f>
        <v/>
      </c>
      <c r="AP139" s="42">
        <f>IF(ISBLANK(AQ139),"","&lt;b&gt;")</f>
        <v/>
      </c>
      <c r="AQ139" s="42" t="n"/>
      <c r="AR139" s="42" t="n"/>
      <c r="AS139" s="42">
        <f>IF(ISBLANK(AR139),""," %")</f>
        <v/>
      </c>
      <c r="AT139" s="42">
        <f t="array" ref="AT139">_xlfn.IFS(NOT(ISBLANK(AU139))," (pgs. ",NOT(ISBLANK(AS139))," (pg. ", ISBLANK(AS139), "")</f>
        <v/>
      </c>
      <c r="AU139" s="42" t="n"/>
      <c r="AV139" s="42">
        <f>IF(ISBLANK(AW139),"",", ")</f>
        <v/>
      </c>
      <c r="AW139" s="42" t="n"/>
      <c r="AX139" s="42">
        <f>IF(ISBLANK(AY139),"",",&lt;br&gt;")</f>
        <v/>
      </c>
      <c r="AY139" s="42" t="n"/>
      <c r="AZ139" s="42">
        <f>IF(ISBLANK(AU139),"",")&lt;/b&gt;")</f>
        <v/>
      </c>
      <c r="BA139" s="42">
        <f>IF(ISBLANK(BC139),"","&lt;br&gt;")</f>
        <v/>
      </c>
      <c r="BB139" s="42">
        <f t="array" ref="BB139">IF(ISBLANK(BC139),"",_xlfn.LET(
_xlpm.words,_xlfn.TEXTSPLIT(TRIM(BC139),"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39" s="42" t="n"/>
    </row>
    <row r="140">
      <c r="A140" s="20">
        <f>_xlfn.TEXTJOIN("", TRUE, F140:H140)</f>
        <v/>
      </c>
      <c r="B140" s="21">
        <f>_xlfn.TEXTJOIN("", TRUE, I140:S140)</f>
        <v/>
      </c>
      <c r="C140" s="21">
        <f>IF(ISBLANK(X140),"", _xlfn.TEXTJOIN("",TRUE,T140:Z140))</f>
        <v/>
      </c>
      <c r="D140" s="21">
        <f>IF(ISBLANK(AB140), "", _xlfn.TEXTJOIN("", TRUE, AA140:AC140))</f>
        <v/>
      </c>
      <c r="E140" s="22">
        <f>IF(AU140="NA", _xlfn.TEXTJOIN("", TRUE, AD140:AH140), _xlfn.TEXTJOIN("", TRUE, AD140:AJ140))</f>
        <v/>
      </c>
      <c r="F140" s="42">
        <f>IF(LEFT(G140,4)="FY26","&lt;b&gt;","&lt;i&gt;")</f>
        <v/>
      </c>
      <c r="G140" s="42" t="inlineStr">
        <is>
          <t>FY26 Supplemental</t>
        </is>
      </c>
      <c r="H140" s="42">
        <f>IF(LEFT(G140,4)="FY26","&lt;/b&gt;","&lt;/i&gt;")</f>
        <v/>
      </c>
      <c r="I140" s="43" t="inlineStr">
        <is>
          <t>&lt;i&gt;</t>
        </is>
      </c>
      <c r="J140" s="44" t="inlineStr">
        <is>
          <t>Natural Resources</t>
        </is>
      </c>
      <c r="K140" s="44" t="inlineStr">
        <is>
          <t>&lt;/i&gt;</t>
        </is>
      </c>
      <c r="L140" s="4">
        <f>IF(ISBLANK(N140),"","&lt;br&gt;")</f>
        <v/>
      </c>
      <c r="M140" s="42">
        <f>IF(ISBLANK(R140),"&lt;b&gt;","&lt;i&gt;")</f>
        <v/>
      </c>
      <c r="N140" s="42" t="inlineStr">
        <is>
          <t>Land Board</t>
        </is>
      </c>
      <c r="O140" s="42">
        <f>IF(ISBLANK(R140),"&lt;/b&gt;","&lt;/i&gt;")</f>
        <v/>
      </c>
      <c r="P140" s="4">
        <f>IF(ISBLANK(R140),"","&lt;br&gt;")</f>
        <v/>
      </c>
      <c r="Q140" s="42">
        <f>IF(ISBLANK(R140),"","&lt;b&gt;")</f>
        <v/>
      </c>
      <c r="R140" s="42" t="inlineStr">
        <is>
          <t>Dept. of Lands</t>
        </is>
      </c>
      <c r="S140" s="42">
        <f>IF(ISBLANK(R140),"","&lt;/i&gt;")</f>
        <v/>
      </c>
      <c r="T140" s="42">
        <f>IF(ISBLANK(X140),"",IF(OR(AB140="PASSED",ISBLANK(N140)),"&lt;b&gt;","&lt;i&gt;"))</f>
        <v/>
      </c>
      <c r="U140" s="3">
        <f>IF(ISBLANK(V140),"","&lt;a href='")</f>
        <v/>
      </c>
      <c r="V140" s="13" t="inlineStr">
        <is>
          <t>https://legislature.idaho.gov/sessioninfo/rs/</t>
        </is>
      </c>
      <c r="W140" s="17">
        <f>IF(ISBLANK(V140),"","'&gt;")</f>
        <v/>
      </c>
      <c r="X140" s="12" t="inlineStr">
        <is>
          <t>Supplemental</t>
        </is>
      </c>
      <c r="Y140" s="17">
        <f>IF(ISBLANK(X140),"","&lt;/a&gt;")</f>
        <v/>
      </c>
      <c r="Z140" s="42">
        <f>IF(ISBLANK(X140),"",IF(OR(AB140="PASSED",ISBLANK(N140)),"&lt;/b&gt;","&lt;/i&gt;"))</f>
        <v/>
      </c>
      <c r="AA140" s="43">
        <f>IF(AB140="PASSED","&lt;b&gt;","")</f>
        <v/>
      </c>
      <c r="AB140" s="45" t="inlineStr">
        <is>
          <t>MOTION FAILED</t>
        </is>
      </c>
      <c r="AC140" s="43">
        <f>IF(AB140="PASSED","&lt;/b&gt;","")</f>
        <v/>
      </c>
      <c r="AD140" s="43">
        <f>IF(ISBLANK(AE140),"","&lt;b&gt;")</f>
        <v/>
      </c>
      <c r="AE140" s="51" t="inlineStr">
        <is>
          <t>03/04</t>
        </is>
      </c>
      <c r="AF140" s="42">
        <f>IF(ISBLANK(AE140),"",": ")</f>
        <v/>
      </c>
      <c r="AG140" s="42" t="inlineStr">
        <is>
          <t>JFAC Budget Setting</t>
        </is>
      </c>
      <c r="AH140" s="42">
        <f>IF(ISBLANK(AE140),"","&lt;/b&gt;")</f>
        <v/>
      </c>
      <c r="AI140" s="42" t="n"/>
      <c r="AJ140" s="42">
        <f>IF(ISBLANK(AI140),"","&lt;br&gt;"&amp;AI140)</f>
        <v/>
      </c>
      <c r="AK140" s="42" t="n"/>
      <c r="AL140" s="42" t="n"/>
      <c r="AM140" s="42" t="n"/>
      <c r="AN140" s="42">
        <f>IF(ISBLANK(AM140),"","&lt;/i&gt;")</f>
        <v/>
      </c>
      <c r="AO140" s="54">
        <f>IF(ISBLANK(AQ140),"","&lt;/b&gt;&lt;br&gt;&lt;br&gt;")</f>
        <v/>
      </c>
      <c r="AP140" s="42">
        <f>IF(ISBLANK(AQ140),"","&lt;b&gt;")</f>
        <v/>
      </c>
      <c r="AQ140" s="42" t="n"/>
      <c r="AR140" s="42" t="n"/>
      <c r="AS140" s="42">
        <f>IF(ISBLANK(AR140),""," %")</f>
        <v/>
      </c>
      <c r="AT140" s="42">
        <f t="array" ref="AT140">_xlfn.IFS(NOT(ISBLANK(AU140))," (pgs. ",NOT(ISBLANK(AS140))," (pg. ", ISBLANK(AS140), "")</f>
        <v/>
      </c>
      <c r="AU140" s="42" t="n"/>
      <c r="AV140" s="42">
        <f>IF(ISBLANK(AW140),"",", ")</f>
        <v/>
      </c>
      <c r="AW140" s="42" t="n"/>
      <c r="AX140" s="42">
        <f>IF(ISBLANK(AY140),"",",&lt;br&gt;")</f>
        <v/>
      </c>
      <c r="AY140" s="42" t="n"/>
      <c r="AZ140" s="42">
        <f>IF(ISBLANK(AU140),"",")&lt;/b&gt;")</f>
        <v/>
      </c>
      <c r="BA140" s="42">
        <f>IF(ISBLANK(BC140),"","&lt;br&gt;")</f>
        <v/>
      </c>
      <c r="BB140" s="42">
        <f t="array" ref="BB140">IF(ISBLANK(BC140),"",_xlfn.LET(
_xlpm.words,_xlfn.TEXTSPLIT(TRIM(BC140),"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40" s="42" t="n"/>
    </row>
    <row r="141">
      <c r="A141" s="20">
        <f>_xlfn.TEXTJOIN("", TRUE, F141:H141)</f>
        <v/>
      </c>
      <c r="B141" s="21">
        <f>_xlfn.TEXTJOIN("", TRUE, I141:S141)</f>
        <v/>
      </c>
      <c r="C141" s="21">
        <f>IF(ISBLANK(X141),"", _xlfn.TEXTJOIN("",TRUE,T141:Z141))</f>
        <v/>
      </c>
      <c r="D141" s="21">
        <f>IF(ISBLANK(AB141), "", _xlfn.TEXTJOIN("", TRUE, AA141:AC141))</f>
        <v/>
      </c>
      <c r="E141" s="22">
        <f>IF(AU141="NA", _xlfn.TEXTJOIN("", TRUE, AD141:AH141), _xlfn.TEXTJOIN("", TRUE, AD141:AJ141))</f>
        <v/>
      </c>
      <c r="F141" s="42">
        <f>IF(LEFT(G141,4)="FY26","&lt;b&gt;","&lt;i&gt;")</f>
        <v/>
      </c>
      <c r="G141" s="42" t="inlineStr">
        <is>
          <t>FY26 Supplemental</t>
        </is>
      </c>
      <c r="H141" s="42">
        <f>IF(LEFT(G141,4)="FY26","&lt;/b&gt;","&lt;/i&gt;")</f>
        <v/>
      </c>
      <c r="I141" s="43" t="inlineStr">
        <is>
          <t>&lt;i&gt;</t>
        </is>
      </c>
      <c r="J141" s="44" t="inlineStr">
        <is>
          <t>Economic Development</t>
        </is>
      </c>
      <c r="K141" s="44" t="inlineStr">
        <is>
          <t>&lt;/i&gt;</t>
        </is>
      </c>
      <c r="L141" s="4">
        <f>IF(ISBLANK(N141),"","&lt;br&gt;")</f>
        <v/>
      </c>
      <c r="M141" s="42">
        <f>IF(ISBLANK(R141),"&lt;b&gt;","&lt;i&gt;")</f>
        <v/>
      </c>
      <c r="N141" s="42" t="inlineStr">
        <is>
          <t>Dept. of Self-Governing Agencies</t>
        </is>
      </c>
      <c r="O141" s="42">
        <f>IF(ISBLANK(R141),"&lt;/b&gt;","&lt;/i&gt;")</f>
        <v/>
      </c>
      <c r="P141" s="4">
        <f>IF(ISBLANK(R141),"","&lt;br&gt;")</f>
        <v/>
      </c>
      <c r="Q141" s="42">
        <f>IF(ISBLANK(R141),"","&lt;b&gt;")</f>
        <v/>
      </c>
      <c r="R141" s="42" t="inlineStr">
        <is>
          <t>Comm. of Pardons &amp; Parole</t>
        </is>
      </c>
      <c r="S141" s="42">
        <f>IF(ISBLANK(R141),"","&lt;/i&gt;")</f>
        <v/>
      </c>
      <c r="T141" s="42">
        <f>IF(ISBLANK(X141),"",IF(OR(AB141="PASSED",ISBLANK(N141)),"&lt;b&gt;","&lt;i&gt;"))</f>
        <v/>
      </c>
      <c r="U141" s="3">
        <f>IF(ISBLANK(V141),"","&lt;a href='")</f>
        <v/>
      </c>
      <c r="V141" s="13" t="inlineStr">
        <is>
          <t>https://legislature.idaho.gov/sessioninfo/rs/</t>
        </is>
      </c>
      <c r="W141" s="17">
        <f>IF(ISBLANK(V141),"","'&gt;")</f>
        <v/>
      </c>
      <c r="X141" s="12" t="inlineStr">
        <is>
          <t>Supplemental</t>
        </is>
      </c>
      <c r="Y141" s="17">
        <f>IF(ISBLANK(X141),"","&lt;/a&gt;")</f>
        <v/>
      </c>
      <c r="Z141" s="42">
        <f>IF(ISBLANK(X141),"",IF(OR(AB141="PASSED",ISBLANK(N141)),"&lt;/b&gt;","&lt;/i&gt;"))</f>
        <v/>
      </c>
      <c r="AA141" s="43">
        <f>IF(AB141="PASSED","&lt;b&gt;","")</f>
        <v/>
      </c>
      <c r="AB141" s="45" t="inlineStr">
        <is>
          <t>INTRODUCED</t>
        </is>
      </c>
      <c r="AC141" s="43">
        <f>IF(AB141="PASSED","&lt;/b&gt;","")</f>
        <v/>
      </c>
      <c r="AD141" s="43">
        <f>IF(ISBLANK(AE141),"","&lt;b&gt;")</f>
        <v/>
      </c>
      <c r="AE141" s="51" t="inlineStr">
        <is>
          <t>03/03</t>
        </is>
      </c>
      <c r="AF141" s="42">
        <f>IF(ISBLANK(AE141),"",": ")</f>
        <v/>
      </c>
      <c r="AG141" s="42" t="inlineStr">
        <is>
          <t>JFAC Budget Setting</t>
        </is>
      </c>
      <c r="AH141" s="42">
        <f>IF(ISBLANK(AE141),"","&lt;/b&gt;")</f>
        <v/>
      </c>
      <c r="AI141" s="42" t="n"/>
      <c r="AJ141" s="42">
        <f>IF(ISBLANK(AI141),"","&lt;br&gt;"&amp;AI141)</f>
        <v/>
      </c>
      <c r="AK141" s="42" t="n"/>
      <c r="AL141" s="42" t="n"/>
      <c r="AM141" s="42" t="n"/>
      <c r="AN141" s="42">
        <f>IF(ISBLANK(AM141),"","&lt;/i&gt;")</f>
        <v/>
      </c>
      <c r="AO141" s="35">
        <f>IF(ISBLANK(AQ141),"","&lt;/b&gt;&lt;br&gt;&lt;br&gt;")</f>
        <v/>
      </c>
      <c r="AP141" s="42">
        <f>IF(ISBLANK(AQ141),"","&lt;b&gt;")</f>
        <v/>
      </c>
      <c r="AQ141" s="42" t="n"/>
      <c r="AR141" s="4" t="n"/>
      <c r="AS141" s="4">
        <f>IF(ISBLANK(AR141),""," %")</f>
        <v/>
      </c>
      <c r="AT141" s="4">
        <f t="array" ref="AT141">_xlfn.IFS(NOT(ISBLANK(AU141))," (pgs. ",NOT(ISBLANK(AS141))," (pg. ", ISBLANK(AS141), "")</f>
        <v/>
      </c>
      <c r="AU141" s="52" t="n"/>
      <c r="AV141" s="4">
        <f>IF(ISBLANK(AW141),"",", ")</f>
        <v/>
      </c>
      <c r="AW141" s="42" t="n"/>
      <c r="AX141" s="4">
        <f>IF(ISBLANK(AY141),"",",&lt;br&gt;")</f>
        <v/>
      </c>
      <c r="AY141" s="42" t="n"/>
      <c r="AZ141" s="49">
        <f>IF(ISBLANK(AU141),"",")&lt;/b&gt;")</f>
        <v/>
      </c>
      <c r="BA141" s="4">
        <f>IF(ISBLANK(BC141),"","&lt;br&gt;")</f>
        <v/>
      </c>
      <c r="BB141" s="42">
        <f t="array" ref="BB141">IF(ISBLANK(BC141),"",_xlfn.LET(
_xlpm.words,_xlfn.TEXTSPLIT(TRIM(BC141),"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41" s="42" t="n"/>
    </row>
    <row r="142">
      <c r="A142" s="20">
        <f>_xlfn.TEXTJOIN("", TRUE, F142:H142)</f>
        <v/>
      </c>
      <c r="B142" s="21">
        <f>_xlfn.TEXTJOIN("", TRUE, I142:S142)</f>
        <v/>
      </c>
      <c r="C142" s="21">
        <f>IF(ISBLANK(X142),"", _xlfn.TEXTJOIN("",TRUE,T142:Z142))</f>
        <v/>
      </c>
      <c r="D142" s="21">
        <f>IF(ISBLANK(AB142), "", _xlfn.TEXTJOIN("", TRUE, AA142:AC142))</f>
        <v/>
      </c>
      <c r="E142" s="22">
        <f>IF(AU142="NA", _xlfn.TEXTJOIN("", TRUE, AD142:AH142), _xlfn.TEXTJOIN("", TRUE, AD142:AJ142))</f>
        <v/>
      </c>
      <c r="F142" s="42">
        <f>IF(LEFT(G142,4)="FY26","&lt;b&gt;","&lt;i&gt;")</f>
        <v/>
      </c>
      <c r="G142" s="42" t="inlineStr">
        <is>
          <t>FY26 Supplemental</t>
        </is>
      </c>
      <c r="H142" s="42">
        <f>IF(LEFT(G142,4)="FY26","&lt;/b&gt;","&lt;/i&gt;")</f>
        <v/>
      </c>
      <c r="I142" s="43" t="inlineStr">
        <is>
          <t>&lt;i&gt;</t>
        </is>
      </c>
      <c r="J142" s="44" t="inlineStr">
        <is>
          <t>Health &amp; Human Services</t>
        </is>
      </c>
      <c r="K142" s="44" t="inlineStr">
        <is>
          <t>&lt;/i&gt;</t>
        </is>
      </c>
      <c r="L142" s="4">
        <f>IF(ISBLANK(N142),"","&lt;br&gt;")</f>
        <v/>
      </c>
      <c r="M142" s="42">
        <f>IF(ISBLANK(R142),"&lt;b&gt;","&lt;i&gt;")</f>
        <v/>
      </c>
      <c r="N142" s="42" t="inlineStr">
        <is>
          <t>Dept. of Health &amp; Welfare</t>
        </is>
      </c>
      <c r="O142" s="42">
        <f>IF(ISBLANK(R142),"&lt;/b&gt;","&lt;/i&gt;")</f>
        <v/>
      </c>
      <c r="P142" s="4">
        <f>IF(ISBLANK(R142),"","&lt;br&gt;")</f>
        <v/>
      </c>
      <c r="Q142" s="42">
        <f>IF(ISBLANK(R142),"","&lt;b&gt;")</f>
        <v/>
      </c>
      <c r="R142" s="42" t="inlineStr">
        <is>
          <t>Psychiatric Hospitalization</t>
        </is>
      </c>
      <c r="S142" s="42">
        <f>IF(ISBLANK(R142),"","&lt;/i&gt;")</f>
        <v/>
      </c>
      <c r="T142" s="42">
        <f>IF(ISBLANK(X142),"",IF(OR(AB142="PASSED",ISBLANK(N142)),"&lt;b&gt;","&lt;i&gt;"))</f>
        <v/>
      </c>
      <c r="U142" s="3">
        <f>IF(ISBLANK(V142),"","&lt;a href='")</f>
        <v/>
      </c>
      <c r="V142" s="13" t="inlineStr">
        <is>
          <t>https://legislature.idaho.gov/sessioninfo/rs/</t>
        </is>
      </c>
      <c r="W142" s="17">
        <f>IF(ISBLANK(V142),"","'&gt;")</f>
        <v/>
      </c>
      <c r="X142" s="12" t="inlineStr">
        <is>
          <t>Supplemental</t>
        </is>
      </c>
      <c r="Y142" s="17">
        <f>IF(ISBLANK(X142),"","&lt;/a&gt;")</f>
        <v/>
      </c>
      <c r="Z142" s="42">
        <f>IF(ISBLANK(X142),"",IF(OR(AB142="PASSED",ISBLANK(N142)),"&lt;/b&gt;","&lt;/i&gt;"))</f>
        <v/>
      </c>
      <c r="AA142" s="43">
        <f>IF(AB142="PASSED","&lt;b&gt;","")</f>
        <v/>
      </c>
      <c r="AB142" s="45" t="inlineStr">
        <is>
          <t>INTRODUCED</t>
        </is>
      </c>
      <c r="AC142" s="43">
        <f>IF(AB142="PASSED","&lt;/b&gt;","")</f>
        <v/>
      </c>
      <c r="AD142" s="43">
        <f>IF(ISBLANK(AE142),"","&lt;b&gt;")</f>
        <v/>
      </c>
      <c r="AE142" s="51" t="inlineStr">
        <is>
          <t>03/03</t>
        </is>
      </c>
      <c r="AF142" s="42">
        <f>IF(ISBLANK(AE142),"",": ")</f>
        <v/>
      </c>
      <c r="AG142" s="42" t="inlineStr">
        <is>
          <t>JFAC Budget Setting</t>
        </is>
      </c>
      <c r="AH142" s="42">
        <f>IF(ISBLANK(AE142),"","&lt;/b&gt;")</f>
        <v/>
      </c>
      <c r="AI142" s="42" t="n"/>
      <c r="AJ142" s="42">
        <f>IF(ISBLANK(AI142),"","&lt;br&gt;"&amp;AI142)</f>
        <v/>
      </c>
      <c r="AK142" s="42" t="n"/>
      <c r="AL142" s="42" t="n"/>
      <c r="AM142" s="42" t="n"/>
      <c r="AN142" s="42">
        <f>IF(ISBLANK(AM142),"","&lt;/i&gt;")</f>
        <v/>
      </c>
      <c r="AO142" s="35">
        <f>IF(ISBLANK(AQ142),"","&lt;/b&gt;&lt;br&gt;&lt;br&gt;")</f>
        <v/>
      </c>
      <c r="AP142" s="42">
        <f>IF(ISBLANK(AQ142),"","&lt;b&gt;")</f>
        <v/>
      </c>
      <c r="AQ142" s="42" t="n"/>
      <c r="AR142" s="4" t="n"/>
      <c r="AS142" s="4">
        <f>IF(ISBLANK(AR142),""," %")</f>
        <v/>
      </c>
      <c r="AT142" s="4">
        <f t="array" ref="AT142">_xlfn.IFS(NOT(ISBLANK(AU142))," (pgs. ",NOT(ISBLANK(AS142))," (pg. ", ISBLANK(AS142), "")</f>
        <v/>
      </c>
      <c r="AU142" s="52" t="n"/>
      <c r="AV142" s="4">
        <f>IF(ISBLANK(AW142),"",", ")</f>
        <v/>
      </c>
      <c r="AW142" s="42" t="n"/>
      <c r="AX142" s="4">
        <f>IF(ISBLANK(AY142),"",",&lt;br&gt;")</f>
        <v/>
      </c>
      <c r="AY142" s="42" t="n"/>
      <c r="AZ142" s="49">
        <f>IF(ISBLANK(AU142),"",")&lt;/b&gt;")</f>
        <v/>
      </c>
      <c r="BA142" s="4">
        <f>IF(ISBLANK(BC142),"","&lt;br&gt;")</f>
        <v/>
      </c>
      <c r="BB142" s="42">
        <f t="array" ref="BB142">IF(ISBLANK(BC142),"",_xlfn.LET(
_xlpm.words,_xlfn.TEXTSPLIT(TRIM(BC142),"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42" s="42" t="n"/>
    </row>
    <row r="143">
      <c r="A143" s="20">
        <f>_xlfn.TEXTJOIN("", TRUE, F143:H143)</f>
        <v/>
      </c>
      <c r="B143" s="21">
        <f>_xlfn.TEXTJOIN("", TRUE, I143:S143)</f>
        <v/>
      </c>
      <c r="C143" s="21">
        <f>IF(ISBLANK(X143),"", _xlfn.TEXTJOIN("",TRUE,T143:Z143))</f>
        <v/>
      </c>
      <c r="D143" s="21">
        <f>IF(ISBLANK(AB143), "", _xlfn.TEXTJOIN("", TRUE, AA143:AC143))</f>
        <v/>
      </c>
      <c r="E143" s="22">
        <f>IF(AU143="NA", _xlfn.TEXTJOIN("", TRUE, AD143:AH143), _xlfn.TEXTJOIN("", TRUE, AD143:AJ143))</f>
        <v/>
      </c>
      <c r="F143" s="42">
        <f>IF(LEFT(G143,4)="FY26","&lt;b&gt;","&lt;i&gt;")</f>
        <v/>
      </c>
      <c r="G143" s="42" t="inlineStr">
        <is>
          <t>FY26 Supplemental</t>
        </is>
      </c>
      <c r="H143" s="42">
        <f>IF(LEFT(G143,4)="FY26","&lt;/b&gt;","&lt;/i&gt;")</f>
        <v/>
      </c>
      <c r="I143" s="43" t="inlineStr">
        <is>
          <t>&lt;i&gt;</t>
        </is>
      </c>
      <c r="J143" s="44" t="inlineStr">
        <is>
          <t>Public Safety</t>
        </is>
      </c>
      <c r="K143" s="44" t="inlineStr">
        <is>
          <t>&lt;/i&gt;</t>
        </is>
      </c>
      <c r="L143" s="4">
        <f>IF(ISBLANK(N143),"","&lt;br&gt;")</f>
        <v/>
      </c>
      <c r="M143" s="42">
        <f>IF(ISBLANK(R143),"&lt;b&gt;","&lt;i&gt;")</f>
        <v/>
      </c>
      <c r="N143" s="42" t="inlineStr">
        <is>
          <t>Dept. of Correction</t>
        </is>
      </c>
      <c r="O143" s="42">
        <f>IF(ISBLANK(R143),"&lt;/b&gt;","&lt;/i&gt;")</f>
        <v/>
      </c>
      <c r="P143" s="4">
        <f>IF(ISBLANK(R143),"","&lt;br&gt;")</f>
        <v/>
      </c>
      <c r="Q143" s="42">
        <f>IF(ISBLANK(R143),"","&lt;b&gt;")</f>
        <v/>
      </c>
      <c r="R143" s="42" t="inlineStr">
        <is>
          <t>County &amp; Out-of-State Placement</t>
        </is>
      </c>
      <c r="S143" s="42">
        <f>IF(ISBLANK(R143),"","&lt;/i&gt;")</f>
        <v/>
      </c>
      <c r="T143" s="42">
        <f>IF(ISBLANK(X143),"",IF(OR(AB143="PASSED",ISBLANK(N143)),"&lt;b&gt;","&lt;i&gt;"))</f>
        <v/>
      </c>
      <c r="U143" s="3">
        <f>IF(ISBLANK(V143),"","&lt;a href='")</f>
        <v/>
      </c>
      <c r="V143" s="13" t="inlineStr">
        <is>
          <t>https://legislature.idaho.gov/sessioninfo/rs/</t>
        </is>
      </c>
      <c r="W143" s="17">
        <f>IF(ISBLANK(V143),"","'&gt;")</f>
        <v/>
      </c>
      <c r="X143" s="12" t="inlineStr">
        <is>
          <t>Supplemental</t>
        </is>
      </c>
      <c r="Y143" s="17">
        <f>IF(ISBLANK(X143),"","&lt;/a&gt;")</f>
        <v/>
      </c>
      <c r="Z143" s="42">
        <f>IF(ISBLANK(X143),"",IF(OR(AB143="PASSED",ISBLANK(N143)),"&lt;/b&gt;","&lt;/i&gt;"))</f>
        <v/>
      </c>
      <c r="AA143" s="43">
        <f>IF(AB143="PASSED","&lt;b&gt;","")</f>
        <v/>
      </c>
      <c r="AB143" s="45" t="inlineStr">
        <is>
          <t>INTRODUCED</t>
        </is>
      </c>
      <c r="AC143" s="43">
        <f>IF(AB143="PASSED","&lt;/b&gt;","")</f>
        <v/>
      </c>
      <c r="AD143" s="43">
        <f>IF(ISBLANK(AE143),"","&lt;b&gt;")</f>
        <v/>
      </c>
      <c r="AE143" s="51" t="inlineStr">
        <is>
          <t>03/03</t>
        </is>
      </c>
      <c r="AF143" s="42">
        <f>IF(ISBLANK(AE143),"",": ")</f>
        <v/>
      </c>
      <c r="AG143" s="42" t="inlineStr">
        <is>
          <t>JFAC Budget Setting</t>
        </is>
      </c>
      <c r="AH143" s="42">
        <f>IF(ISBLANK(AE143),"","&lt;/b&gt;")</f>
        <v/>
      </c>
      <c r="AI143" s="42" t="n"/>
      <c r="AJ143" s="42">
        <f>IF(ISBLANK(AI143),"","&lt;br&gt;"&amp;AI143)</f>
        <v/>
      </c>
      <c r="AK143" s="42" t="n"/>
      <c r="AL143" s="42" t="n"/>
      <c r="AM143" s="42" t="n"/>
      <c r="AN143" s="42">
        <f>IF(ISBLANK(AM143),"","&lt;/i&gt;")</f>
        <v/>
      </c>
      <c r="AO143" s="35">
        <f>IF(ISBLANK(AQ143),"","&lt;/b&gt;&lt;br&gt;&lt;br&gt;")</f>
        <v/>
      </c>
      <c r="AP143" s="42">
        <f>IF(ISBLANK(AQ143),"","&lt;b&gt;")</f>
        <v/>
      </c>
      <c r="AQ143" s="42" t="n"/>
      <c r="AR143" s="4" t="n"/>
      <c r="AS143" s="4">
        <f>IF(ISBLANK(AR143),""," %")</f>
        <v/>
      </c>
      <c r="AT143" s="4">
        <f t="array" ref="AT143">_xlfn.IFS(NOT(ISBLANK(AU143))," (pgs. ",NOT(ISBLANK(AS143))," (pg. ", ISBLANK(AS143), "")</f>
        <v/>
      </c>
      <c r="AU143" s="52" t="n"/>
      <c r="AV143" s="4">
        <f>IF(ISBLANK(AW143),"",", ")</f>
        <v/>
      </c>
      <c r="AW143" s="42" t="n"/>
      <c r="AX143" s="4">
        <f>IF(ISBLANK(AY143),"",",&lt;br&gt;")</f>
        <v/>
      </c>
      <c r="AY143" s="42" t="n"/>
      <c r="AZ143" s="49">
        <f>IF(ISBLANK(AU143),"",")&lt;/b&gt;")</f>
        <v/>
      </c>
      <c r="BA143" s="4">
        <f>IF(ISBLANK(BC143),"","&lt;br&gt;")</f>
        <v/>
      </c>
      <c r="BB143" s="42">
        <f t="array" ref="BB143">IF(ISBLANK(BC143),"",_xlfn.LET(
_xlpm.words,_xlfn.TEXTSPLIT(TRIM(BC143),"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43" s="42" t="n"/>
    </row>
    <row r="144">
      <c r="A144" s="20">
        <f>_xlfn.TEXTJOIN("", TRUE, F144:H144)</f>
        <v/>
      </c>
      <c r="B144" s="21">
        <f>_xlfn.TEXTJOIN("", TRUE, I144:S144)</f>
        <v/>
      </c>
      <c r="C144" s="21">
        <f>IF(ISBLANK(X144),"", _xlfn.TEXTJOIN("",TRUE,T144:Z144))</f>
        <v/>
      </c>
      <c r="D144" s="21">
        <f>IF(ISBLANK(AB144), "", _xlfn.TEXTJOIN("", TRUE, AA144:AC144))</f>
        <v/>
      </c>
      <c r="E144" s="22">
        <f>IF(AU144="NA", _xlfn.TEXTJOIN("", TRUE, AD144:AH144), _xlfn.TEXTJOIN("", TRUE, AD144:AJ144))</f>
        <v/>
      </c>
      <c r="F144" s="42">
        <f>IF(LEFT(G144,4)="FY26","&lt;b&gt;","&lt;i&gt;")</f>
        <v/>
      </c>
      <c r="G144" s="42" t="inlineStr">
        <is>
          <t>FY26 Supplemental</t>
        </is>
      </c>
      <c r="H144" s="42">
        <f>IF(LEFT(G144,4)="FY26","&lt;/b&gt;","&lt;/i&gt;")</f>
        <v/>
      </c>
      <c r="I144" s="43" t="inlineStr">
        <is>
          <t>&lt;i&gt;</t>
        </is>
      </c>
      <c r="J144" s="44" t="inlineStr">
        <is>
          <t>Public Safety</t>
        </is>
      </c>
      <c r="K144" s="44" t="inlineStr">
        <is>
          <t>&lt;/i&gt;</t>
        </is>
      </c>
      <c r="L144" s="4">
        <f>IF(ISBLANK(N144),"","&lt;br&gt;")</f>
        <v/>
      </c>
      <c r="M144" s="42">
        <f>IF(ISBLANK(R144),"&lt;b&gt;","&lt;i&gt;")</f>
        <v/>
      </c>
      <c r="N144" s="42" t="inlineStr">
        <is>
          <t>Dept. of Correction</t>
        </is>
      </c>
      <c r="O144" s="42">
        <f>IF(ISBLANK(R144),"&lt;/b&gt;","&lt;/i&gt;")</f>
        <v/>
      </c>
      <c r="P144" s="4">
        <f>IF(ISBLANK(R144),"","&lt;br&gt;")</f>
        <v/>
      </c>
      <c r="Q144" s="42">
        <f>IF(ISBLANK(R144),"","&lt;b&gt;")</f>
        <v/>
      </c>
      <c r="R144" s="42" t="inlineStr">
        <is>
          <t>Management Services</t>
        </is>
      </c>
      <c r="S144" s="42">
        <f>IF(ISBLANK(R144),"","&lt;/i&gt;")</f>
        <v/>
      </c>
      <c r="T144" s="42">
        <f>IF(ISBLANK(X144),"",IF(OR(AB144="PASSED",ISBLANK(N144)),"&lt;b&gt;","&lt;i&gt;"))</f>
        <v/>
      </c>
      <c r="U144" s="3">
        <f>IF(ISBLANK(V144),"","&lt;a href='")</f>
        <v/>
      </c>
      <c r="V144" s="13" t="inlineStr">
        <is>
          <t>https://legislature.idaho.gov/sessioninfo/rs/</t>
        </is>
      </c>
      <c r="W144" s="17">
        <f>IF(ISBLANK(V144),"","'&gt;")</f>
        <v/>
      </c>
      <c r="X144" s="12" t="inlineStr">
        <is>
          <t>Supplemental</t>
        </is>
      </c>
      <c r="Y144" s="17">
        <f>IF(ISBLANK(X144),"","&lt;/a&gt;")</f>
        <v/>
      </c>
      <c r="Z144" s="42">
        <f>IF(ISBLANK(X144),"",IF(OR(AB144="PASSED",ISBLANK(N144)),"&lt;/b&gt;","&lt;/i&gt;"))</f>
        <v/>
      </c>
      <c r="AA144" s="43">
        <f>IF(AB144="PASSED","&lt;b&gt;","")</f>
        <v/>
      </c>
      <c r="AB144" s="45" t="inlineStr">
        <is>
          <t>INTRODUCED</t>
        </is>
      </c>
      <c r="AC144" s="43">
        <f>IF(AB144="PASSED","&lt;/b&gt;","")</f>
        <v/>
      </c>
      <c r="AD144" s="43">
        <f>IF(ISBLANK(AE144),"","&lt;b&gt;")</f>
        <v/>
      </c>
      <c r="AE144" s="51" t="inlineStr">
        <is>
          <t>03/03</t>
        </is>
      </c>
      <c r="AF144" s="42">
        <f>IF(ISBLANK(AE144),"",": ")</f>
        <v/>
      </c>
      <c r="AG144" s="42" t="inlineStr">
        <is>
          <t>JFAC Budget Setting</t>
        </is>
      </c>
      <c r="AH144" s="42">
        <f>IF(ISBLANK(AE144),"","&lt;/b&gt;")</f>
        <v/>
      </c>
      <c r="AI144" s="42" t="n"/>
      <c r="AJ144" s="42">
        <f>IF(ISBLANK(AI144),"","&lt;br&gt;"&amp;AI144)</f>
        <v/>
      </c>
      <c r="AK144" s="42" t="n"/>
      <c r="AL144" s="42" t="n"/>
      <c r="AM144" s="42" t="n"/>
      <c r="AN144" s="42">
        <f>IF(ISBLANK(AM144),"","&lt;/i&gt;")</f>
        <v/>
      </c>
      <c r="AO144" s="35">
        <f>IF(ISBLANK(AQ144),"","&lt;/b&gt;&lt;br&gt;&lt;br&gt;")</f>
        <v/>
      </c>
      <c r="AP144" s="42">
        <f>IF(ISBLANK(AQ144),"","&lt;b&gt;")</f>
        <v/>
      </c>
      <c r="AQ144" s="42" t="n"/>
      <c r="AR144" s="4" t="n"/>
      <c r="AS144" s="4">
        <f>IF(ISBLANK(AR144),""," %")</f>
        <v/>
      </c>
      <c r="AT144" s="4">
        <f t="array" ref="AT144">_xlfn.IFS(NOT(ISBLANK(AU144))," (pgs. ",NOT(ISBLANK(AS144))," (pg. ", ISBLANK(AS144), "")</f>
        <v/>
      </c>
      <c r="AU144" s="52" t="n"/>
      <c r="AV144" s="4">
        <f>IF(ISBLANK(AW144),"",", ")</f>
        <v/>
      </c>
      <c r="AW144" s="42" t="n"/>
      <c r="AX144" s="4">
        <f>IF(ISBLANK(AY144),"",",&lt;br&gt;")</f>
        <v/>
      </c>
      <c r="AY144" s="42" t="n"/>
      <c r="AZ144" s="49">
        <f>IF(ISBLANK(AU144),"",")&lt;/b&gt;")</f>
        <v/>
      </c>
      <c r="BA144" s="4">
        <f>IF(ISBLANK(BC144),"","&lt;br&gt;")</f>
        <v/>
      </c>
      <c r="BB144" s="42">
        <f t="array" ref="BB144">IF(ISBLANK(BC144),"",_xlfn.LET(
_xlpm.words,_xlfn.TEXTSPLIT(TRIM(BC144),"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44" s="42" t="n"/>
    </row>
    <row r="145">
      <c r="A145" s="20">
        <f>_xlfn.TEXTJOIN("", TRUE, F145:H145)</f>
        <v/>
      </c>
      <c r="B145" s="21">
        <f>_xlfn.TEXTJOIN("", TRUE, I145:S145)</f>
        <v/>
      </c>
      <c r="C145" s="21">
        <f>IF(ISBLANK(X145),"", _xlfn.TEXTJOIN("",TRUE,T145:Z145))</f>
        <v/>
      </c>
      <c r="D145" s="21">
        <f>IF(ISBLANK(AB145), "", _xlfn.TEXTJOIN("", TRUE, AA145:AC145))</f>
        <v/>
      </c>
      <c r="E145" s="22">
        <f>IF(AU145="NA", _xlfn.TEXTJOIN("", TRUE, AD145:AH145), _xlfn.TEXTJOIN("", TRUE, AD145:AJ145))</f>
        <v/>
      </c>
      <c r="F145" s="42">
        <f>IF(LEFT(G145,4)="FY26","&lt;b&gt;","&lt;i&gt;")</f>
        <v/>
      </c>
      <c r="G145" s="42" t="inlineStr">
        <is>
          <t>FY26 Supplemental</t>
        </is>
      </c>
      <c r="H145" s="42">
        <f>IF(LEFT(G145,4)="FY26","&lt;/b&gt;","&lt;/i&gt;")</f>
        <v/>
      </c>
      <c r="I145" s="43" t="inlineStr">
        <is>
          <t>&lt;i&gt;</t>
        </is>
      </c>
      <c r="J145" s="44" t="inlineStr">
        <is>
          <t>Public Safety</t>
        </is>
      </c>
      <c r="K145" s="44" t="inlineStr">
        <is>
          <t>&lt;/i&gt;</t>
        </is>
      </c>
      <c r="L145" s="4">
        <f>IF(ISBLANK(N145),"","&lt;br&gt;")</f>
        <v/>
      </c>
      <c r="M145" s="42">
        <f>IF(ISBLANK(R145),"&lt;b&gt;","&lt;i&gt;")</f>
        <v/>
      </c>
      <c r="N145" s="42" t="inlineStr">
        <is>
          <t>Dept. of Correction</t>
        </is>
      </c>
      <c r="O145" s="42">
        <f>IF(ISBLANK(R145),"&lt;/b&gt;","&lt;/i&gt;")</f>
        <v/>
      </c>
      <c r="P145" s="4">
        <f>IF(ISBLANK(R145),"","&lt;br&gt;")</f>
        <v/>
      </c>
      <c r="Q145" s="42">
        <f>IF(ISBLANK(R145),"","&lt;b&gt;")</f>
        <v/>
      </c>
      <c r="R145" s="42" t="inlineStr">
        <is>
          <t>Medical Services</t>
        </is>
      </c>
      <c r="S145" s="42">
        <f>IF(ISBLANK(R145),"","&lt;/i&gt;")</f>
        <v/>
      </c>
      <c r="T145" s="42">
        <f>IF(ISBLANK(X145),"",IF(OR(AB145="PASSED",ISBLANK(N145)),"&lt;b&gt;","&lt;i&gt;"))</f>
        <v/>
      </c>
      <c r="U145" s="3">
        <f>IF(ISBLANK(V145),"","&lt;a href='")</f>
        <v/>
      </c>
      <c r="V145" s="13" t="inlineStr">
        <is>
          <t>https://legislature.idaho.gov/sessioninfo/rs/</t>
        </is>
      </c>
      <c r="W145" s="17">
        <f>IF(ISBLANK(V145),"","'&gt;")</f>
        <v/>
      </c>
      <c r="X145" s="12" t="inlineStr">
        <is>
          <t>Supplemental</t>
        </is>
      </c>
      <c r="Y145" s="17">
        <f>IF(ISBLANK(X145),"","&lt;/a&gt;")</f>
        <v/>
      </c>
      <c r="Z145" s="42">
        <f>IF(ISBLANK(X145),"",IF(OR(AB145="PASSED",ISBLANK(N145)),"&lt;/b&gt;","&lt;/i&gt;"))</f>
        <v/>
      </c>
      <c r="AA145" s="43">
        <f>IF(AB145="PASSED","&lt;b&gt;","")</f>
        <v/>
      </c>
      <c r="AB145" s="45" t="inlineStr">
        <is>
          <t>INTRODUCED</t>
        </is>
      </c>
      <c r="AC145" s="43">
        <f>IF(AB145="PASSED","&lt;/b&gt;","")</f>
        <v/>
      </c>
      <c r="AD145" s="43">
        <f>IF(ISBLANK(AE145),"","&lt;b&gt;")</f>
        <v/>
      </c>
      <c r="AE145" s="51" t="inlineStr">
        <is>
          <t>03/03</t>
        </is>
      </c>
      <c r="AF145" s="42">
        <f>IF(ISBLANK(AE145),"",": ")</f>
        <v/>
      </c>
      <c r="AG145" s="42" t="inlineStr">
        <is>
          <t>JFAC Budget Setting</t>
        </is>
      </c>
      <c r="AH145" s="42">
        <f>IF(ISBLANK(AE145),"","&lt;/b&gt;")</f>
        <v/>
      </c>
      <c r="AI145" s="42" t="n"/>
      <c r="AJ145" s="42">
        <f>IF(ISBLANK(AI145),"","&lt;br&gt;"&amp;AI145)</f>
        <v/>
      </c>
      <c r="AK145" s="42" t="n"/>
      <c r="AL145" s="42" t="n"/>
      <c r="AM145" s="42" t="n"/>
      <c r="AN145" s="42">
        <f>IF(ISBLANK(AM145),"","&lt;/i&gt;")</f>
        <v/>
      </c>
      <c r="AO145" s="35">
        <f>IF(ISBLANK(AQ145),"","&lt;/b&gt;&lt;br&gt;&lt;br&gt;")</f>
        <v/>
      </c>
      <c r="AP145" s="42">
        <f>IF(ISBLANK(AQ145),"","&lt;b&gt;")</f>
        <v/>
      </c>
      <c r="AQ145" s="42" t="n"/>
      <c r="AR145" s="4" t="n"/>
      <c r="AS145" s="4">
        <f>IF(ISBLANK(AR145),""," %")</f>
        <v/>
      </c>
      <c r="AT145" s="4">
        <f t="array" ref="AT145">_xlfn.IFS(NOT(ISBLANK(AU145))," (pgs. ",NOT(ISBLANK(AS145))," (pg. ", ISBLANK(AS145), "")</f>
        <v/>
      </c>
      <c r="AU145" s="52" t="n"/>
      <c r="AV145" s="4">
        <f>IF(ISBLANK(AW145),"",", ")</f>
        <v/>
      </c>
      <c r="AW145" s="42" t="n"/>
      <c r="AX145" s="4">
        <f>IF(ISBLANK(AY145),"",",&lt;br&gt;")</f>
        <v/>
      </c>
      <c r="AY145" s="42" t="n"/>
      <c r="AZ145" s="49">
        <f>IF(ISBLANK(AU145),"",")&lt;/b&gt;")</f>
        <v/>
      </c>
      <c r="BA145" s="4">
        <f>IF(ISBLANK(BC145),"","&lt;br&gt;")</f>
        <v/>
      </c>
      <c r="BB145" s="42">
        <f t="array" ref="BB145">IF(ISBLANK(BC145),"",_xlfn.LET(
_xlpm.words,_xlfn.TEXTSPLIT(TRIM(BC145),"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45" s="42" t="n"/>
    </row>
    <row r="146">
      <c r="A146" s="20">
        <f>_xlfn.TEXTJOIN("", TRUE, F146:H146)</f>
        <v/>
      </c>
      <c r="B146" s="21">
        <f>_xlfn.TEXTJOIN("", TRUE, I146:S146)</f>
        <v/>
      </c>
      <c r="C146" s="21">
        <f>IF(ISBLANK(X146),"", _xlfn.TEXTJOIN("",TRUE,T146:Z146))</f>
        <v/>
      </c>
      <c r="D146" s="21">
        <f>IF(ISBLANK(AB146), "", _xlfn.TEXTJOIN("", TRUE, AA146:AC146))</f>
        <v/>
      </c>
      <c r="E146" s="22">
        <f>IF(AU146="NA", _xlfn.TEXTJOIN("", TRUE, AD146:AH146), _xlfn.TEXTJOIN("", TRUE, AD146:AJ146))</f>
        <v/>
      </c>
      <c r="F146" s="42">
        <f>IF(LEFT(G146,4)="FY26","&lt;b&gt;","&lt;i&gt;")</f>
        <v/>
      </c>
      <c r="G146" s="42" t="inlineStr">
        <is>
          <t>FY26 Supplemental</t>
        </is>
      </c>
      <c r="H146" s="42">
        <f>IF(LEFT(G146,4)="FY26","&lt;/b&gt;","&lt;/i&gt;")</f>
        <v/>
      </c>
      <c r="I146" s="43" t="inlineStr">
        <is>
          <t>&lt;i&gt;</t>
        </is>
      </c>
      <c r="J146" s="44" t="inlineStr">
        <is>
          <t>State Board of Education</t>
        </is>
      </c>
      <c r="K146" s="44" t="inlineStr">
        <is>
          <t>&lt;/i&gt;</t>
        </is>
      </c>
      <c r="L146" s="4">
        <f>IF(ISBLANK(N146),"","&lt;br&gt;")</f>
        <v/>
      </c>
      <c r="M146" s="42">
        <f>IF(ISBLANK(R146),"&lt;b&gt;","&lt;i&gt;")</f>
        <v/>
      </c>
      <c r="N146" s="42" t="inlineStr">
        <is>
          <t>Career Technical Education</t>
        </is>
      </c>
      <c r="O146" s="42">
        <f>IF(ISBLANK(R146),"&lt;/b&gt;","&lt;/i&gt;")</f>
        <v/>
      </c>
      <c r="P146" s="4">
        <f>IF(ISBLANK(R146),"","&lt;br&gt;")</f>
        <v/>
      </c>
      <c r="Q146" s="42">
        <f>IF(ISBLANK(R146),"","&lt;b&gt;")</f>
        <v/>
      </c>
      <c r="R146" s="42" t="n"/>
      <c r="S146" s="42">
        <f>IF(ISBLANK(R146),"","&lt;/i&gt;")</f>
        <v/>
      </c>
      <c r="T146" s="42">
        <f>IF(ISBLANK(X146),"",IF(OR(AB146="PASSED",ISBLANK(N146)),"&lt;b&gt;","&lt;i&gt;"))</f>
        <v/>
      </c>
      <c r="U146" s="3">
        <f>IF(ISBLANK(V146),"","&lt;a href='")</f>
        <v/>
      </c>
      <c r="V146" s="13" t="inlineStr">
        <is>
          <t>https://legislature.idaho.gov/sessioninfo/rs/</t>
        </is>
      </c>
      <c r="W146" s="17">
        <f>IF(ISBLANK(V146),"","'&gt;")</f>
        <v/>
      </c>
      <c r="X146" s="12" t="inlineStr">
        <is>
          <t>Supplemental</t>
        </is>
      </c>
      <c r="Y146" s="17">
        <f>IF(ISBLANK(X146),"","&lt;/a&gt;")</f>
        <v/>
      </c>
      <c r="Z146" s="42">
        <f>IF(ISBLANK(X146),"",IF(OR(AB146="PASSED",ISBLANK(N146)),"&lt;/b&gt;","&lt;/i&gt;"))</f>
        <v/>
      </c>
      <c r="AA146" s="43">
        <f>IF(AB146="PASSED","&lt;b&gt;","")</f>
        <v/>
      </c>
      <c r="AB146" s="45" t="inlineStr">
        <is>
          <t>INTRODUCED</t>
        </is>
      </c>
      <c r="AC146" s="43">
        <f>IF(AB146="PASSED","&lt;/b&gt;","")</f>
        <v/>
      </c>
      <c r="AD146" s="43">
        <f>IF(ISBLANK(AE146),"","&lt;b&gt;")</f>
        <v/>
      </c>
      <c r="AE146" s="51" t="inlineStr">
        <is>
          <t>03/02</t>
        </is>
      </c>
      <c r="AF146" s="42">
        <f>IF(ISBLANK(AE146),"",": ")</f>
        <v/>
      </c>
      <c r="AG146" s="42" t="inlineStr">
        <is>
          <t>JFAC Budget Setting</t>
        </is>
      </c>
      <c r="AH146" s="42">
        <f>IF(ISBLANK(AE146),"","&lt;/b&gt;")</f>
        <v/>
      </c>
      <c r="AI146" s="42" t="n"/>
      <c r="AJ146" s="42">
        <f>IF(ISBLANK(AI146),"","&lt;br&gt;"&amp;AI146)</f>
        <v/>
      </c>
      <c r="AK146" s="42" t="n"/>
      <c r="AL146" s="42" t="n"/>
      <c r="AM146" s="42" t="n"/>
      <c r="AN146" s="42">
        <f>IF(ISBLANK(AM146),"","&lt;/i&gt;")</f>
        <v/>
      </c>
      <c r="AO146" s="35">
        <f>IF(ISBLANK(AQ146),"","&lt;/b&gt;&lt;br&gt;&lt;br&gt;")</f>
        <v/>
      </c>
      <c r="AP146" s="42">
        <f>IF(ISBLANK(AQ146),"","&lt;b&gt;")</f>
        <v/>
      </c>
      <c r="AQ146" s="42" t="n"/>
      <c r="AR146" s="4" t="n"/>
      <c r="AS146" s="4">
        <f>IF(ISBLANK(AR146),""," %")</f>
        <v/>
      </c>
      <c r="AT146" s="4">
        <f t="array" ref="AT146">_xlfn.IFS(NOT(ISBLANK(AU146))," (pgs. ",NOT(ISBLANK(AS146))," (pg. ", ISBLANK(AS146), "")</f>
        <v/>
      </c>
      <c r="AU146" s="52" t="n"/>
      <c r="AV146" s="4">
        <f>IF(ISBLANK(AW146),"",", ")</f>
        <v/>
      </c>
      <c r="AW146" s="42" t="n"/>
      <c r="AX146" s="4">
        <f>IF(ISBLANK(AY146),"",",&lt;br&gt;")</f>
        <v/>
      </c>
      <c r="AY146" s="42" t="n"/>
      <c r="AZ146" s="49">
        <f>IF(ISBLANK(AU146),"",")&lt;/b&gt;")</f>
        <v/>
      </c>
      <c r="BA146" s="4">
        <f>IF(ISBLANK(BC146),"","&lt;br&gt;")</f>
        <v/>
      </c>
      <c r="BB146" s="42">
        <f t="array" ref="BB146">IF(ISBLANK(BC146),"",_xlfn.LET(
_xlpm.words,_xlfn.TEXTSPLIT(TRIM(BC146),"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46" s="42" t="n"/>
    </row>
    <row r="147">
      <c r="A147" s="20">
        <f>_xlfn.TEXTJOIN("", TRUE, F147:H147)</f>
        <v/>
      </c>
      <c r="B147" s="21">
        <f>_xlfn.TEXTJOIN("", TRUE, I147:S147)</f>
        <v/>
      </c>
      <c r="C147" s="21">
        <f>IF(ISBLANK(X147),"", _xlfn.TEXTJOIN("",TRUE,T147:Z147))</f>
        <v/>
      </c>
      <c r="D147" s="21">
        <f>IF(ISBLANK(AB147), "", _xlfn.TEXTJOIN("", TRUE, AA147:AC147))</f>
        <v/>
      </c>
      <c r="E147" s="22">
        <f>IF(AU147="NA", _xlfn.TEXTJOIN("", TRUE, AD147:AH147), _xlfn.TEXTJOIN("", TRUE, AD147:AJ147))</f>
        <v/>
      </c>
      <c r="F147" s="42">
        <f>IF(LEFT(G147,4)="FY26","&lt;b&gt;","&lt;i&gt;")</f>
        <v/>
      </c>
      <c r="G147" s="42" t="inlineStr">
        <is>
          <t>FY26 Supplemental</t>
        </is>
      </c>
      <c r="H147" s="42">
        <f>IF(LEFT(G147,4)="FY26","&lt;/b&gt;","&lt;/i&gt;")</f>
        <v/>
      </c>
      <c r="I147" s="43" t="inlineStr">
        <is>
          <t>&lt;i&gt;</t>
        </is>
      </c>
      <c r="J147" s="44" t="inlineStr">
        <is>
          <t>General Government</t>
        </is>
      </c>
      <c r="K147" s="44" t="inlineStr">
        <is>
          <t>&lt;/i&gt;</t>
        </is>
      </c>
      <c r="L147" s="4">
        <f>IF(ISBLANK(N147),"","&lt;br&gt;")</f>
        <v/>
      </c>
      <c r="M147" s="42">
        <f>IF(ISBLANK(R147),"&lt;b&gt;","&lt;i&gt;")</f>
        <v/>
      </c>
      <c r="N147" s="42" t="inlineStr">
        <is>
          <t>Office of the Governor</t>
        </is>
      </c>
      <c r="O147" s="42">
        <f>IF(ISBLANK(R147),"&lt;/b&gt;","&lt;/i&gt;")</f>
        <v/>
      </c>
      <c r="P147" s="4">
        <f>IF(ISBLANK(R147),"","&lt;br&gt;")</f>
        <v/>
      </c>
      <c r="Q147" s="42">
        <f>IF(ISBLANK(R147),"","&lt;b&gt;")</f>
        <v/>
      </c>
      <c r="R147" s="42" t="inlineStr">
        <is>
          <t>Office of Information Technology Services</t>
        </is>
      </c>
      <c r="S147" s="42">
        <f>IF(ISBLANK(R147),"","&lt;/i&gt;")</f>
        <v/>
      </c>
      <c r="T147" s="42">
        <f>IF(ISBLANK(X147),"",IF(OR(AB147="PASSED",ISBLANK(N147)),"&lt;b&gt;","&lt;i&gt;"))</f>
        <v/>
      </c>
      <c r="U147" s="3">
        <f>IF(ISBLANK(V147),"","&lt;a href='")</f>
        <v/>
      </c>
      <c r="V147" s="13" t="inlineStr">
        <is>
          <t>https://legislature.idaho.gov/sessioninfo/rs/</t>
        </is>
      </c>
      <c r="W147" s="17">
        <f>IF(ISBLANK(V147),"","'&gt;")</f>
        <v/>
      </c>
      <c r="X147" s="12" t="inlineStr">
        <is>
          <t>Supplemental</t>
        </is>
      </c>
      <c r="Y147" s="17">
        <f>IF(ISBLANK(X147),"","&lt;/a&gt;")</f>
        <v/>
      </c>
      <c r="Z147" s="42">
        <f>IF(ISBLANK(X147),"",IF(OR(AB147="PASSED",ISBLANK(N147)),"&lt;/b&gt;","&lt;/i&gt;"))</f>
        <v/>
      </c>
      <c r="AA147" s="43">
        <f>IF(AB147="PASSED","&lt;b&gt;","")</f>
        <v/>
      </c>
      <c r="AB147" s="45" t="inlineStr">
        <is>
          <t>INTRODUCED</t>
        </is>
      </c>
      <c r="AC147" s="43">
        <f>IF(AB147="PASSED","&lt;/b&gt;","")</f>
        <v/>
      </c>
      <c r="AD147" s="43">
        <f>IF(ISBLANK(AE147),"","&lt;b&gt;")</f>
        <v/>
      </c>
      <c r="AE147" s="46" t="inlineStr">
        <is>
          <t>02/27</t>
        </is>
      </c>
      <c r="AF147" s="42">
        <f>IF(ISBLANK(AE147),"",": ")</f>
        <v/>
      </c>
      <c r="AG147" s="42" t="inlineStr">
        <is>
          <t>JFAC Budget Setting</t>
        </is>
      </c>
      <c r="AH147" s="42">
        <f>IF(ISBLANK(AE147),"","&lt;/b&gt;")</f>
        <v/>
      </c>
      <c r="AI147" s="42" t="n"/>
      <c r="AJ147" s="42">
        <f>IF(ISBLANK(AI147),"","&lt;br&gt;"&amp;AI147)</f>
        <v/>
      </c>
      <c r="AK147" s="42" t="n"/>
      <c r="AL147" s="42" t="n"/>
      <c r="AM147" s="42" t="n"/>
      <c r="AN147" s="42">
        <f>IF(ISBLANK(AM147),"","&lt;/i&gt;")</f>
        <v/>
      </c>
      <c r="AO147" s="54">
        <f>IF(ISBLANK(AQ147),"","&lt;/b&gt;&lt;br&gt;&lt;br&gt;")</f>
        <v/>
      </c>
      <c r="AP147" s="42">
        <f>IF(ISBLANK(AQ147),"","&lt;b&gt;")</f>
        <v/>
      </c>
      <c r="AQ147" s="42" t="n"/>
      <c r="AR147" s="42" t="n"/>
      <c r="AS147" s="4">
        <f>IF(ISBLANK(AR147),""," %")</f>
        <v/>
      </c>
      <c r="AT147" s="4">
        <f t="array" ref="AT147">_xlfn.IFS(NOT(ISBLANK(AU147))," (pgs. ",NOT(ISBLANK(AS147))," (pg. ", ISBLANK(AS147), "")</f>
        <v/>
      </c>
      <c r="AU147" s="42" t="n"/>
      <c r="AV147" s="4">
        <f>IF(ISBLANK(AW147),"",", ")</f>
        <v/>
      </c>
      <c r="AW147" s="42" t="n"/>
      <c r="AX147" s="4">
        <f>IF(ISBLANK(AY147),"",",&lt;br&gt;")</f>
        <v/>
      </c>
      <c r="AY147" s="42" t="n"/>
      <c r="AZ147" s="49">
        <f>IF(ISBLANK(AU147),"",")&lt;/b&gt;")</f>
        <v/>
      </c>
      <c r="BA147" s="42">
        <f>IF(ISBLANK(BC147),"","&lt;br&gt;")</f>
        <v/>
      </c>
      <c r="BB147" s="42">
        <f t="array" ref="BB147">IF(ISBLANK(BC147),"",_xlfn.LET(
_xlpm.words,_xlfn.TEXTSPLIT(TRIM(BC147),"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47" s="42" t="n"/>
    </row>
    <row r="148">
      <c r="A148" s="20">
        <f>_xlfn.TEXTJOIN("", TRUE, F148:H148)</f>
        <v/>
      </c>
      <c r="B148" s="21">
        <f>_xlfn.TEXTJOIN("", TRUE, I148:S148)</f>
        <v/>
      </c>
      <c r="C148" s="21">
        <f>IF(ISBLANK(X148),"", _xlfn.TEXTJOIN("",TRUE,T148:Z148))</f>
        <v/>
      </c>
      <c r="D148" s="21">
        <f>IF(ISBLANK(AB148), "", _xlfn.TEXTJOIN("", TRUE, AA148:AC148))</f>
        <v/>
      </c>
      <c r="E148" s="22">
        <f>IF(AU148="NA", _xlfn.TEXTJOIN("", TRUE, AD148:AH148), _xlfn.TEXTJOIN("", TRUE, AD148:AJ148))</f>
        <v/>
      </c>
      <c r="F148" s="42">
        <f>IF(LEFT(G148,4)="FY26","&lt;b&gt;","&lt;i&gt;")</f>
        <v/>
      </c>
      <c r="G148" s="42" t="inlineStr">
        <is>
          <t>FY27 Maintenance</t>
        </is>
      </c>
      <c r="H148" s="42">
        <f>IF(LEFT(G148,4)="FY26","&lt;/b&gt;","&lt;/i&gt;")</f>
        <v/>
      </c>
      <c r="I148" s="43" t="inlineStr">
        <is>
          <t>&lt;i&gt;</t>
        </is>
      </c>
      <c r="J148" s="44" t="inlineStr">
        <is>
          <t>Constitutional Officers</t>
        </is>
      </c>
      <c r="K148" s="44" t="inlineStr">
        <is>
          <t>&lt;/i&gt;</t>
        </is>
      </c>
      <c r="L148" s="42">
        <f>IF(ISBLANK(N148),"","&lt;br&gt;")</f>
        <v/>
      </c>
      <c r="M148" s="42">
        <f>IF(ISBLANK(R148),"&lt;b&gt;","&lt;i&gt;")</f>
        <v/>
      </c>
      <c r="N148" s="42" t="n"/>
      <c r="O148" s="42">
        <f>IF(ISBLANK(R148),"&lt;/b&gt;","&lt;/i&gt;")</f>
        <v/>
      </c>
      <c r="P148" s="4">
        <f>IF(ISBLANK(R148),"","&lt;br&gt;")</f>
        <v/>
      </c>
      <c r="Q148" s="42">
        <f>IF(ISBLANK(R148),"","&lt;b&gt;")</f>
        <v/>
      </c>
      <c r="R148" s="42" t="n"/>
      <c r="S148" s="42">
        <f>IF(ISBLANK(R148),"","&lt;/i&gt;")</f>
        <v/>
      </c>
      <c r="T148" s="43">
        <f>IF(ISBLANK(X148),"",IF(OR(AB148="PASSED",ISBLANK(N148)),"&lt;b&gt;","&lt;i&gt;"))</f>
        <v/>
      </c>
      <c r="U148" s="3">
        <f>IF(ISBLANK(V148),"","&lt;a href='")</f>
        <v/>
      </c>
      <c r="V148" s="13" t="inlineStr">
        <is>
          <t>https://legislature.idaho.gov/sessioninfo/rs/</t>
        </is>
      </c>
      <c r="W148" s="17">
        <f>IF(ISBLANK(V148),"","'&gt;")</f>
        <v/>
      </c>
      <c r="X148" s="12" t="inlineStr">
        <is>
          <t>Constitutional Officers</t>
        </is>
      </c>
      <c r="Y148" s="17">
        <f>IF(ISBLANK(X148),"","&lt;/a&gt;")</f>
        <v/>
      </c>
      <c r="Z148" s="42">
        <f>IF(ISBLANK(X148),"",IF(OR(AB148="PASSED",ISBLANK(N148)),"&lt;/b&gt;","&lt;/i&gt;"))</f>
        <v/>
      </c>
      <c r="AA148" s="43">
        <f>IF(AB148="PASSED","&lt;b&gt;","")</f>
        <v/>
      </c>
      <c r="AB148" s="45" t="inlineStr">
        <is>
          <t>INTRODUCED</t>
        </is>
      </c>
      <c r="AC148" s="43">
        <f>IF(AB148="PASSED","&lt;/b&gt;","")</f>
        <v/>
      </c>
      <c r="AD148" s="43">
        <f>IF(ISBLANK(AE148),"","&lt;b&gt;")</f>
        <v/>
      </c>
      <c r="AE148" s="51" t="inlineStr">
        <is>
          <t>02/13</t>
        </is>
      </c>
      <c r="AF148" s="42">
        <f>IF(ISBLANK(AE148),"",": ")</f>
        <v/>
      </c>
      <c r="AG148" s="42" t="inlineStr">
        <is>
          <t>FY27 maintenance (-5%)</t>
        </is>
      </c>
      <c r="AH148" s="42">
        <f>IF(ISBLANK(AE148),"","&lt;/b&gt;")</f>
        <v/>
      </c>
      <c r="AI148" s="42" t="n"/>
      <c r="AJ148" s="42">
        <f>IF(ISBLANK(AI148),"","&lt;br&gt;"&amp;AI148)</f>
        <v/>
      </c>
      <c r="AK148" s="4" t="inlineStr">
        <is>
          <t>&lt;br&gt;</t>
        </is>
      </c>
      <c r="AL148" s="42" t="inlineStr">
        <is>
          <t>&lt;b&gt;&lt;i&gt;</t>
        </is>
      </c>
      <c r="AM148" s="42" t="inlineStr">
        <is>
          <t>Governor's 3% + JFAC's 2%&lt;br&gt;Secretary of State excluded &lt;br&gt;from holdback/reduction</t>
        </is>
      </c>
      <c r="AN148" s="42">
        <f>IF(ISBLANK(AM148),"","&lt;/i&gt;")</f>
        <v/>
      </c>
      <c r="AO148" s="35">
        <f>IF(ISBLANK(AQ148),"","&lt;/b&gt;&lt;br&gt;&lt;br&gt;")</f>
        <v/>
      </c>
      <c r="AP148" s="42">
        <f>IF(ISBLANK(AQ148),"","&lt;b&gt;")</f>
        <v/>
      </c>
      <c r="AQ148" s="42" t="n"/>
      <c r="AR148" s="4" t="n"/>
      <c r="AS148" s="4">
        <f>IF(ISBLANK(AR148),""," %")</f>
        <v/>
      </c>
      <c r="AT148" s="4">
        <f t="array" ref="AT148">_xlfn.IFS(NOT(ISBLANK(AU148))," (pgs. ",NOT(ISBLANK(AS148))," (pg. ", ISBLANK(AS148), "")</f>
        <v/>
      </c>
      <c r="AU148" s="42" t="n"/>
      <c r="AV148" s="4">
        <f>IF(ISBLANK(AW148),"",", ")</f>
        <v/>
      </c>
      <c r="AW148" s="42" t="n"/>
      <c r="AX148" s="4">
        <f>IF(ISBLANK(AY148),"",",&lt;br&gt;")</f>
        <v/>
      </c>
      <c r="AY148" s="42" t="n"/>
      <c r="AZ148" s="49">
        <f>IF(ISBLANK(AU148),"",")&lt;/b&gt;")</f>
        <v/>
      </c>
      <c r="BA148" s="4">
        <f>IF(ISBLANK(BC148),"","&lt;br&gt;")</f>
        <v/>
      </c>
      <c r="BB148" s="42">
        <f t="array" ref="BB148">IF(ISBLANK(BC148),"",_xlfn.LET(
_xlpm.words,_xlfn.TEXTSPLIT(TRIM(BC148),"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48" s="50" t="n"/>
    </row>
    <row r="149">
      <c r="A149" s="20">
        <f>_xlfn.TEXTJOIN("", TRUE, F149:H149)</f>
        <v/>
      </c>
      <c r="B149" s="21">
        <f>_xlfn.TEXTJOIN("", TRUE, I149:S149)</f>
        <v/>
      </c>
      <c r="C149" s="21">
        <f>IF(ISBLANK(X149),"", _xlfn.TEXTJOIN("",TRUE,T149:Z149))</f>
        <v/>
      </c>
      <c r="D149" s="21">
        <f>IF(ISBLANK(AB149), "", _xlfn.TEXTJOIN("", TRUE, AA149:AC149))</f>
        <v/>
      </c>
      <c r="E149" s="22">
        <f>IF(AU149="NA", _xlfn.TEXTJOIN("", TRUE, AD149:AH149), _xlfn.TEXTJOIN("", TRUE, AD149:AJ149))</f>
        <v/>
      </c>
      <c r="F149" s="42">
        <f>IF(LEFT(G149,4)="FY26","&lt;b&gt;","&lt;i&gt;")</f>
        <v/>
      </c>
      <c r="G149" s="42" t="inlineStr">
        <is>
          <t>FY27 Maintenance</t>
        </is>
      </c>
      <c r="H149" s="42">
        <f>IF(LEFT(G149,4)="FY26","&lt;/b&gt;","&lt;/i&gt;")</f>
        <v/>
      </c>
      <c r="I149" s="43" t="inlineStr">
        <is>
          <t>&lt;i&gt;</t>
        </is>
      </c>
      <c r="J149" s="44" t="inlineStr">
        <is>
          <t>Constitutional Officers</t>
        </is>
      </c>
      <c r="K149" s="44" t="inlineStr">
        <is>
          <t>&lt;/i&gt;</t>
        </is>
      </c>
      <c r="L149" s="4">
        <f>IF(ISBLANK(N149),"","&lt;br&gt;")</f>
        <v/>
      </c>
      <c r="M149" s="42">
        <f>IF(ISBLANK(R149),"&lt;b&gt;","&lt;i&gt;")</f>
        <v/>
      </c>
      <c r="N149" s="42" t="inlineStr">
        <is>
          <t>Attorney General</t>
        </is>
      </c>
      <c r="O149" s="42">
        <f>IF(ISBLANK(R149),"&lt;/b&gt;","&lt;/i&gt;")</f>
        <v/>
      </c>
      <c r="P149" s="4">
        <f>IF(ISBLANK(R149),"","&lt;br&gt;")</f>
        <v/>
      </c>
      <c r="Q149" s="42">
        <f>IF(ISBLANK(R149),"","&lt;b&gt;")</f>
        <v/>
      </c>
      <c r="R149" s="42" t="n"/>
      <c r="S149" s="42">
        <f>IF(ISBLANK(R149),"","&lt;/i&gt;")</f>
        <v/>
      </c>
      <c r="T149" s="43">
        <f>IF(ISBLANK(X149),"",IF(OR(AB149="PASSED",ISBLANK(N149)),"&lt;b&gt;","&lt;i&gt;"))</f>
        <v/>
      </c>
      <c r="U149" s="3">
        <f>IF(ISBLANK(V149),"","&lt;a href='")</f>
        <v/>
      </c>
      <c r="V149" s="13" t="inlineStr">
        <is>
          <t>https://legislature.idaho.gov/sessioninfo/rs/</t>
        </is>
      </c>
      <c r="W149" s="17">
        <f>IF(ISBLANK(V149),"","'&gt;")</f>
        <v/>
      </c>
      <c r="X149" s="12" t="inlineStr">
        <is>
          <t>Constitutional Officers</t>
        </is>
      </c>
      <c r="Y149" s="17">
        <f>IF(ISBLANK(X149),"","&lt;/a&gt;")</f>
        <v/>
      </c>
      <c r="Z149" s="42">
        <f>IF(ISBLANK(X149),"",IF(OR(AB149="PASSED",ISBLANK(N149)),"&lt;/b&gt;","&lt;/i&gt;"))</f>
        <v/>
      </c>
      <c r="AA149" s="43">
        <f>IF(AB149="PASSED","&lt;b&gt;","")</f>
        <v/>
      </c>
      <c r="AB149" s="45" t="inlineStr">
        <is>
          <t>INTRODUCED</t>
        </is>
      </c>
      <c r="AC149" s="43">
        <f>IF(AB149="PASSED","&lt;/b&gt;","")</f>
        <v/>
      </c>
      <c r="AD149" s="43">
        <f>IF(ISBLANK(AE149),"","&lt;b&gt;")</f>
        <v/>
      </c>
      <c r="AE149" s="51" t="inlineStr">
        <is>
          <t>02/13</t>
        </is>
      </c>
      <c r="AF149" s="42">
        <f>IF(ISBLANK(AE149),"",": ")</f>
        <v/>
      </c>
      <c r="AG149" s="42" t="inlineStr">
        <is>
          <t>FY27 reduction (-5%)</t>
        </is>
      </c>
      <c r="AH149" s="42">
        <f>IF(ISBLANK(AE149),"","&lt;/b&gt;")</f>
        <v/>
      </c>
      <c r="AI149" s="42" t="n"/>
      <c r="AJ149" s="42">
        <f>IF(ISBLANK(AI149),"","&lt;br&gt;"&amp;AI149)</f>
        <v/>
      </c>
      <c r="AK149" s="4" t="inlineStr">
        <is>
          <t>&lt;br&gt;</t>
        </is>
      </c>
      <c r="AL149" s="42" t="inlineStr">
        <is>
          <t>&lt;b&gt;&lt;i&gt;</t>
        </is>
      </c>
      <c r="AM149" s="42" t="inlineStr">
        <is>
          <t>Governor's 3% + JFAC's 2%</t>
        </is>
      </c>
      <c r="AN149" s="42">
        <f>IF(ISBLANK(AM149),"","&lt;/i&gt;")</f>
        <v/>
      </c>
      <c r="AO149" s="35">
        <f>IF(ISBLANK(AQ149),"","&lt;/b&gt;&lt;br&gt;&lt;br&gt;")</f>
        <v/>
      </c>
      <c r="AP149" s="42">
        <f>IF(ISBLANK(AQ149),"","&lt;b&gt;")</f>
        <v/>
      </c>
      <c r="AQ149" s="47" t="inlineStr">
        <is>
          <t xml:space="preserve">Agency Reduction Plan:&lt;br&gt;Additional </t>
        </is>
      </c>
      <c r="AR149" s="42" t="n">
        <v>2</v>
      </c>
      <c r="AS149" s="4">
        <f>IF(ISBLANK(AR149),""," %")</f>
        <v/>
      </c>
      <c r="AT149" s="4">
        <f t="array" ref="AT149">_xlfn.IFS(NOT(ISBLANK(AU149))," (pgs. ",NOT(ISBLANK(AS149))," (pg. ", ISBLANK(AS149), "")</f>
        <v/>
      </c>
      <c r="AU149" s="52" t="n">
        <v>194</v>
      </c>
      <c r="AV149" s="4">
        <f>IF(ISBLANK(AW149),"",", ")</f>
        <v/>
      </c>
      <c r="AW149" s="42" t="n"/>
      <c r="AX149" s="4">
        <f>IF(ISBLANK(AY149),"",",&lt;br&gt;")</f>
        <v/>
      </c>
      <c r="AY149" s="42" t="n"/>
      <c r="AZ149" s="49">
        <f>IF(ISBLANK(AU149),"",")&lt;/b&gt;")</f>
        <v/>
      </c>
      <c r="BA149" s="4">
        <f>IF(ISBLANK(BC149),"","&lt;br&gt;")</f>
        <v/>
      </c>
      <c r="BB149" s="42">
        <f t="array" ref="BB149">IF(ISBLANK(BC149),"",_xlfn.LET(
_xlpm.words,_xlfn.TEXTSPLIT(TRIM(BC149),"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49" s="50" t="inlineStr">
        <is>
          <t>Additional cuts of this magnitude will require furloughs or workforce reductions. That means less capacity to handle the active litigation defending state laws, fewer attorneys available to recover funds for taxpayers, and reduced staffing for critical programs like ICAC. Budget deductions will potentially result in lost work days, greatly disadvantaging the Office, and consequently negatively impacting Idaho citizens. An additional 2% reduction, equivalent to an overall 5% decrease, of $1,629,600, would mean 14 furlough days impacting our 227 FTP.</t>
        </is>
      </c>
    </row>
    <row r="150">
      <c r="A150" s="20">
        <f>_xlfn.TEXTJOIN("", TRUE, F150:H150)</f>
        <v/>
      </c>
      <c r="B150" s="21">
        <f>_xlfn.TEXTJOIN("", TRUE, I150:S150)</f>
        <v/>
      </c>
      <c r="C150" s="21">
        <f>IF(ISBLANK(X150),"", _xlfn.TEXTJOIN("",TRUE,T150:Z150))</f>
        <v/>
      </c>
      <c r="D150" s="21">
        <f>IF(ISBLANK(AB150), "", _xlfn.TEXTJOIN("", TRUE, AA150:AC150))</f>
        <v/>
      </c>
      <c r="E150" s="22">
        <f>IF(AU150="NA", _xlfn.TEXTJOIN("", TRUE, AD150:AH150), _xlfn.TEXTJOIN("", TRUE, AD150:AJ150))</f>
        <v/>
      </c>
      <c r="F150" s="42">
        <f>IF(LEFT(G150,4)="FY26","&lt;b&gt;","&lt;i&gt;")</f>
        <v/>
      </c>
      <c r="G150" s="42" t="inlineStr">
        <is>
          <t>FY27 Maintenance</t>
        </is>
      </c>
      <c r="H150" s="42">
        <f>IF(LEFT(G150,4)="FY26","&lt;/b&gt;","&lt;/i&gt;")</f>
        <v/>
      </c>
      <c r="I150" s="43" t="inlineStr">
        <is>
          <t>&lt;i&gt;</t>
        </is>
      </c>
      <c r="J150" s="44" t="inlineStr">
        <is>
          <t>Constitutional Officers</t>
        </is>
      </c>
      <c r="K150" s="44" t="inlineStr">
        <is>
          <t>&lt;/i&gt;</t>
        </is>
      </c>
      <c r="L150" s="4">
        <f>IF(ISBLANK(N150),"","&lt;br&gt;")</f>
        <v/>
      </c>
      <c r="M150" s="42">
        <f>IF(ISBLANK(R150),"&lt;b&gt;","&lt;i&gt;")</f>
        <v/>
      </c>
      <c r="N150" s="42" t="inlineStr">
        <is>
          <t>Governor</t>
        </is>
      </c>
      <c r="O150" s="42">
        <f>IF(ISBLANK(R150),"&lt;/b&gt;","&lt;/i&gt;")</f>
        <v/>
      </c>
      <c r="P150" s="4">
        <f>IF(ISBLANK(R150),"","&lt;br&gt;")</f>
        <v/>
      </c>
      <c r="Q150" s="42">
        <f>IF(ISBLANK(R150),"","&lt;b&gt;")</f>
        <v/>
      </c>
      <c r="R150" s="42" t="n"/>
      <c r="S150" s="42">
        <f>IF(ISBLANK(R150),"","&lt;/i&gt;")</f>
        <v/>
      </c>
      <c r="T150" s="43">
        <f>IF(ISBLANK(X150),"",IF(OR(AB150="PASSED",ISBLANK(N150)),"&lt;b&gt;","&lt;i&gt;"))</f>
        <v/>
      </c>
      <c r="U150" s="3">
        <f>IF(ISBLANK(V150),"","&lt;a href='")</f>
        <v/>
      </c>
      <c r="V150" s="13" t="inlineStr">
        <is>
          <t>https://legislature.idaho.gov/sessioninfo/rs/</t>
        </is>
      </c>
      <c r="W150" s="17">
        <f>IF(ISBLANK(V150),"","'&gt;")</f>
        <v/>
      </c>
      <c r="X150" s="12" t="inlineStr">
        <is>
          <t>Constitutional Officers</t>
        </is>
      </c>
      <c r="Y150" s="17">
        <f>IF(ISBLANK(X150),"","&lt;/a&gt;")</f>
        <v/>
      </c>
      <c r="Z150" s="42">
        <f>IF(ISBLANK(X150),"",IF(OR(AB150="PASSED",ISBLANK(N150)),"&lt;/b&gt;","&lt;/i&gt;"))</f>
        <v/>
      </c>
      <c r="AA150" s="43">
        <f>IF(AB150="PASSED","&lt;b&gt;","")</f>
        <v/>
      </c>
      <c r="AB150" s="45" t="inlineStr">
        <is>
          <t>INTRODUCED</t>
        </is>
      </c>
      <c r="AC150" s="43">
        <f>IF(AB150="PASSED","&lt;/b&gt;","")</f>
        <v/>
      </c>
      <c r="AD150" s="43">
        <f>IF(ISBLANK(AE150),"","&lt;b&gt;")</f>
        <v/>
      </c>
      <c r="AE150" s="51" t="inlineStr">
        <is>
          <t>02/13</t>
        </is>
      </c>
      <c r="AF150" s="42">
        <f>IF(ISBLANK(AE150),"",": ")</f>
        <v/>
      </c>
      <c r="AG150" s="42" t="inlineStr">
        <is>
          <t>FY27 reduction (-5%)</t>
        </is>
      </c>
      <c r="AH150" s="42">
        <f>IF(ISBLANK(AE150),"","&lt;/b&gt;")</f>
        <v/>
      </c>
      <c r="AI150" s="42" t="n"/>
      <c r="AJ150" s="42">
        <f>IF(ISBLANK(AI150),"","&lt;br&gt;"&amp;AI150)</f>
        <v/>
      </c>
      <c r="AK150" s="4" t="inlineStr">
        <is>
          <t>&lt;br&gt;</t>
        </is>
      </c>
      <c r="AL150" s="42" t="inlineStr">
        <is>
          <t>&lt;b&gt;&lt;i&gt;</t>
        </is>
      </c>
      <c r="AM150" s="42" t="inlineStr">
        <is>
          <t>Governor's 3% + JFAC's 2%</t>
        </is>
      </c>
      <c r="AN150" s="42">
        <f>IF(ISBLANK(AM150),"","&lt;/i&gt;")</f>
        <v/>
      </c>
      <c r="AO150" s="35">
        <f>IF(ISBLANK(AQ150),"","&lt;/b&gt;&lt;br&gt;&lt;br&gt;")</f>
        <v/>
      </c>
      <c r="AP150" s="42">
        <f>IF(ISBLANK(AQ150),"","&lt;b&gt;")</f>
        <v/>
      </c>
      <c r="AQ150" s="47" t="inlineStr">
        <is>
          <t xml:space="preserve">Agency Reduction Plan:&lt;br&gt;Additional </t>
        </is>
      </c>
      <c r="AR150" s="42" t="n">
        <v>2</v>
      </c>
      <c r="AS150" s="4">
        <f>IF(ISBLANK(AR150),""," %")</f>
        <v/>
      </c>
      <c r="AT150" s="4">
        <f t="array" ref="AT150">_xlfn.IFS(NOT(ISBLANK(AU150))," (pgs. ",NOT(ISBLANK(AS150))," (pg. ", ISBLANK(AS150), "")</f>
        <v/>
      </c>
      <c r="AU150" s="48" t="n">
        <v>211</v>
      </c>
      <c r="AV150" s="4">
        <f>IF(ISBLANK(AW150),"",", ")</f>
        <v/>
      </c>
      <c r="AW150" s="42" t="n"/>
      <c r="AX150" s="4">
        <f>IF(ISBLANK(AY150),"",",&lt;br&gt;")</f>
        <v/>
      </c>
      <c r="AY150" s="42" t="n"/>
      <c r="AZ150" s="49">
        <f>IF(ISBLANK(AU150),"",")&lt;/b&gt;")</f>
        <v/>
      </c>
      <c r="BA150" s="4">
        <f>IF(ISBLANK(BC150),"","&lt;br&gt;")</f>
        <v/>
      </c>
      <c r="BB150" s="42">
        <f t="array" ref="BB150">IF(ISBLANK(BC150),"",_xlfn.LET(
_xlpm.words,_xlfn.TEXTSPLIT(TRIM(BC150),"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50" s="50" t="inlineStr">
        <is>
          <t>The Governor’s office has already reduced their personnel costs in the current budget recommendation. An additional 1% or 2% decrease would require the Governor’s office to lay off an existing staff member. 2% - $65K Revert Contingency amount of Constituent Services Agreement (would risk not finishing the project if there are needed fixes/enhancements/changes that need to be made)</t>
        </is>
      </c>
    </row>
    <row r="151">
      <c r="A151" s="20">
        <f>_xlfn.TEXTJOIN("", TRUE, F151:H151)</f>
        <v/>
      </c>
      <c r="B151" s="21">
        <f>_xlfn.TEXTJOIN("", TRUE, I151:S151)</f>
        <v/>
      </c>
      <c r="C151" s="21">
        <f>IF(ISBLANK(X151),"", _xlfn.TEXTJOIN("",TRUE,T151:Z151))</f>
        <v/>
      </c>
      <c r="D151" s="21">
        <f>IF(ISBLANK(AB151), "", _xlfn.TEXTJOIN("", TRUE, AA151:AC151))</f>
        <v/>
      </c>
      <c r="E151" s="22">
        <f>IF(AU151="NA", _xlfn.TEXTJOIN("", TRUE, AD151:AH151), _xlfn.TEXTJOIN("", TRUE, AD151:AJ151))</f>
        <v/>
      </c>
      <c r="F151" s="42">
        <f>IF(LEFT(G151,4)="FY26","&lt;b&gt;","&lt;i&gt;")</f>
        <v/>
      </c>
      <c r="G151" s="42" t="inlineStr">
        <is>
          <t>FY27 Maintenance</t>
        </is>
      </c>
      <c r="H151" s="42">
        <f>IF(LEFT(G151,4)="FY26","&lt;/b&gt;","&lt;/i&gt;")</f>
        <v/>
      </c>
      <c r="I151" s="43" t="inlineStr">
        <is>
          <t>&lt;i&gt;</t>
        </is>
      </c>
      <c r="J151" s="44" t="inlineStr">
        <is>
          <t>Constitutional Officers</t>
        </is>
      </c>
      <c r="K151" s="44" t="inlineStr">
        <is>
          <t>&lt;/i&gt;</t>
        </is>
      </c>
      <c r="L151" s="4">
        <f>IF(ISBLANK(N151),"","&lt;br&gt;")</f>
        <v/>
      </c>
      <c r="M151" s="42">
        <f>IF(ISBLANK(R151),"&lt;b&gt;","&lt;i&gt;")</f>
        <v/>
      </c>
      <c r="N151" s="42" t="inlineStr">
        <is>
          <t>Lieutenant Governor</t>
        </is>
      </c>
      <c r="O151" s="42">
        <f>IF(ISBLANK(R151),"&lt;/b&gt;","&lt;/i&gt;")</f>
        <v/>
      </c>
      <c r="P151" s="4">
        <f>IF(ISBLANK(R151),"","&lt;br&gt;")</f>
        <v/>
      </c>
      <c r="Q151" s="42">
        <f>IF(ISBLANK(R151),"","&lt;b&gt;")</f>
        <v/>
      </c>
      <c r="R151" s="42" t="n"/>
      <c r="S151" s="42">
        <f>IF(ISBLANK(R151),"","&lt;/i&gt;")</f>
        <v/>
      </c>
      <c r="T151" s="43">
        <f>IF(ISBLANK(X151),"",IF(OR(AB151="PASSED",ISBLANK(N151)),"&lt;b&gt;","&lt;i&gt;"))</f>
        <v/>
      </c>
      <c r="U151" s="3">
        <f>IF(ISBLANK(V151),"","&lt;a href='")</f>
        <v/>
      </c>
      <c r="V151" s="13" t="inlineStr">
        <is>
          <t>https://legislature.idaho.gov/sessioninfo/rs/</t>
        </is>
      </c>
      <c r="W151" s="17">
        <f>IF(ISBLANK(V151),"","'&gt;")</f>
        <v/>
      </c>
      <c r="X151" s="12" t="inlineStr">
        <is>
          <t>Constitutional Officers</t>
        </is>
      </c>
      <c r="Y151" s="17">
        <f>IF(ISBLANK(X151),"","&lt;/a&gt;")</f>
        <v/>
      </c>
      <c r="Z151" s="42">
        <f>IF(ISBLANK(X151),"",IF(OR(AB151="PASSED",ISBLANK(N151)),"&lt;/b&gt;","&lt;/i&gt;"))</f>
        <v/>
      </c>
      <c r="AA151" s="43">
        <f>IF(AB151="PASSED","&lt;b&gt;","")</f>
        <v/>
      </c>
      <c r="AB151" s="45" t="inlineStr">
        <is>
          <t>INTRODUCED</t>
        </is>
      </c>
      <c r="AC151" s="43">
        <f>IF(AB151="PASSED","&lt;/b&gt;","")</f>
        <v/>
      </c>
      <c r="AD151" s="43">
        <f>IF(ISBLANK(AE151),"","&lt;b&gt;")</f>
        <v/>
      </c>
      <c r="AE151" s="51" t="inlineStr">
        <is>
          <t>02/13</t>
        </is>
      </c>
      <c r="AF151" s="42">
        <f>IF(ISBLANK(AE151),"",": ")</f>
        <v/>
      </c>
      <c r="AG151" s="42" t="inlineStr">
        <is>
          <t>FY27 reduction (-5%)</t>
        </is>
      </c>
      <c r="AH151" s="42">
        <f>IF(ISBLANK(AE151),"","&lt;/b&gt;")</f>
        <v/>
      </c>
      <c r="AI151" s="42" t="n"/>
      <c r="AJ151" s="42">
        <f>IF(ISBLANK(AI151),"","&lt;br&gt;"&amp;AI151)</f>
        <v/>
      </c>
      <c r="AK151" s="4" t="inlineStr">
        <is>
          <t>&lt;br&gt;</t>
        </is>
      </c>
      <c r="AL151" s="42" t="inlineStr">
        <is>
          <t>&lt;b&gt;&lt;i&gt;</t>
        </is>
      </c>
      <c r="AM151" s="42" t="inlineStr">
        <is>
          <t>Governor's 3% + JFAC's 2%</t>
        </is>
      </c>
      <c r="AN151" s="42">
        <f>IF(ISBLANK(AM151),"","&lt;/i&gt;")</f>
        <v/>
      </c>
      <c r="AO151" s="35">
        <f>IF(ISBLANK(AQ151),"","&lt;/b&gt;&lt;br&gt;&lt;br&gt;")</f>
        <v/>
      </c>
      <c r="AP151" s="42">
        <f>IF(ISBLANK(AQ151),"","&lt;b&gt;")</f>
        <v/>
      </c>
      <c r="AQ151" s="47" t="inlineStr">
        <is>
          <t xml:space="preserve">Agency Reduction Plan:&lt;br&gt;Additional </t>
        </is>
      </c>
      <c r="AR151" s="42" t="n">
        <v>2</v>
      </c>
      <c r="AS151" s="4">
        <f>IF(ISBLANK(AR151),""," %")</f>
        <v/>
      </c>
      <c r="AT151" s="4">
        <f t="array" ref="AT151">_xlfn.IFS(NOT(ISBLANK(AU151))," (pgs. ",NOT(ISBLANK(AS151))," (pg. ", ISBLANK(AS151), "")</f>
        <v/>
      </c>
      <c r="AU151" s="52" t="n">
        <v>223</v>
      </c>
      <c r="AV151" s="4">
        <f>IF(ISBLANK(AW151),"",", ")</f>
        <v/>
      </c>
      <c r="AW151" s="42" t="n"/>
      <c r="AX151" s="4">
        <f>IF(ISBLANK(AY151),"",",&lt;br&gt;")</f>
        <v/>
      </c>
      <c r="AY151" s="42" t="n"/>
      <c r="AZ151" s="49">
        <f>IF(ISBLANK(AU151),"",")&lt;/b&gt;")</f>
        <v/>
      </c>
      <c r="BA151" s="4">
        <f>IF(ISBLANK(BC151),"","&lt;br&gt;")</f>
        <v/>
      </c>
      <c r="BB151" s="42">
        <f t="array" ref="BB151">IF(ISBLANK(BC151),"",_xlfn.LET(
_xlpm.words,_xlfn.TEXTSPLIT(TRIM(BC151),"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51" s="50" t="inlineStr">
        <is>
          <t>The imposition of the additional 1% and 2% holdbacks would have a significant impact on this agency due to its extremely small size and limited operating budget. As a result, there are no excess funds or non-essential expenditures that could absorb these reductions. The only viable source to meet the holdback requirement would be personnel funding, any reduction in personnel funding would necessitate furloughs. The agency does not have the staffing redundancy necessary to redistribute duties without compromising performance or legal compliance.</t>
        </is>
      </c>
    </row>
    <row r="152">
      <c r="A152" s="20">
        <f>_xlfn.TEXTJOIN("", TRUE, F152:H152)</f>
        <v/>
      </c>
      <c r="B152" s="21">
        <f>_xlfn.TEXTJOIN("", TRUE, I152:S152)</f>
        <v/>
      </c>
      <c r="C152" s="21">
        <f>IF(ISBLANK(X152),"", _xlfn.TEXTJOIN("",TRUE,T152:Z152))</f>
        <v/>
      </c>
      <c r="D152" s="21">
        <f>IF(ISBLANK(AB152), "", _xlfn.TEXTJOIN("", TRUE, AA152:AC152))</f>
        <v/>
      </c>
      <c r="E152" s="22">
        <f>IF(AU152="NA", _xlfn.TEXTJOIN("", TRUE, AD152:AH152), _xlfn.TEXTJOIN("", TRUE, AD152:AJ152))</f>
        <v/>
      </c>
      <c r="F152" s="42">
        <f>IF(LEFT(G152,4)="FY26","&lt;b&gt;","&lt;i&gt;")</f>
        <v/>
      </c>
      <c r="G152" s="42" t="inlineStr">
        <is>
          <t>FY27 Maintenance</t>
        </is>
      </c>
      <c r="H152" s="42">
        <f>IF(LEFT(G152,4)="FY26","&lt;/b&gt;","&lt;/i&gt;")</f>
        <v/>
      </c>
      <c r="I152" s="43" t="inlineStr">
        <is>
          <t>&lt;i&gt;</t>
        </is>
      </c>
      <c r="J152" s="44" t="inlineStr">
        <is>
          <t>Constitutional Officers</t>
        </is>
      </c>
      <c r="K152" s="44" t="inlineStr">
        <is>
          <t>&lt;/i&gt;</t>
        </is>
      </c>
      <c r="L152" s="4">
        <f>IF(ISBLANK(N152),"","&lt;br&gt;")</f>
        <v/>
      </c>
      <c r="M152" s="42">
        <f>IF(ISBLANK(R152),"&lt;b&gt;","&lt;i&gt;")</f>
        <v/>
      </c>
      <c r="N152" s="42" t="inlineStr">
        <is>
          <t>Secretary of State</t>
        </is>
      </c>
      <c r="O152" s="42">
        <f>IF(ISBLANK(R152),"&lt;/b&gt;","&lt;/i&gt;")</f>
        <v/>
      </c>
      <c r="P152" s="4">
        <f>IF(ISBLANK(R152),"","&lt;br&gt;")</f>
        <v/>
      </c>
      <c r="Q152" s="42">
        <f>IF(ISBLANK(R152),"","&lt;b&gt;")</f>
        <v/>
      </c>
      <c r="R152" s="42" t="n"/>
      <c r="S152" s="42">
        <f>IF(ISBLANK(R152),"","&lt;/i&gt;")</f>
        <v/>
      </c>
      <c r="T152" s="43">
        <f>IF(ISBLANK(X152),"",IF(OR(AB152="PASSED",ISBLANK(N152)),"&lt;b&gt;","&lt;i&gt;"))</f>
        <v/>
      </c>
      <c r="U152" s="3">
        <f>IF(ISBLANK(V152),"","&lt;a href='")</f>
        <v/>
      </c>
      <c r="V152" s="13" t="inlineStr">
        <is>
          <t>https://legislature.idaho.gov/sessioninfo/rs/</t>
        </is>
      </c>
      <c r="W152" s="17">
        <f>IF(ISBLANK(V152),"","'&gt;")</f>
        <v/>
      </c>
      <c r="X152" s="12" t="inlineStr">
        <is>
          <t>Constitutional Officers</t>
        </is>
      </c>
      <c r="Y152" s="17">
        <f>IF(ISBLANK(X152),"","&lt;/a&gt;")</f>
        <v/>
      </c>
      <c r="Z152" s="42">
        <f>IF(ISBLANK(X152),"",IF(OR(AB152="PASSED",ISBLANK(N152)),"&lt;/b&gt;","&lt;/i&gt;"))</f>
        <v/>
      </c>
      <c r="AA152" s="43">
        <f>IF(AB152="PASSED","&lt;b&gt;","")</f>
        <v/>
      </c>
      <c r="AB152" s="45" t="inlineStr">
        <is>
          <t>INTRODUCED</t>
        </is>
      </c>
      <c r="AC152" s="43">
        <f>IF(AB152="PASSED","&lt;/b&gt;","")</f>
        <v/>
      </c>
      <c r="AD152" s="43">
        <f>IF(ISBLANK(AE152),"","&lt;b&gt;")</f>
        <v/>
      </c>
      <c r="AE152" s="51" t="inlineStr">
        <is>
          <t>02/13</t>
        </is>
      </c>
      <c r="AF152" s="42">
        <f>IF(ISBLANK(AE152),"",": ")</f>
        <v/>
      </c>
      <c r="AG152" s="42" t="inlineStr">
        <is>
          <t>FY27 reduction (-5%)</t>
        </is>
      </c>
      <c r="AH152" s="42">
        <f>IF(ISBLANK(AE152),"","&lt;/b&gt;")</f>
        <v/>
      </c>
      <c r="AI152" s="42" t="n"/>
      <c r="AJ152" s="42">
        <f>IF(ISBLANK(AI152),"","&lt;br&gt;"&amp;AI152)</f>
        <v/>
      </c>
      <c r="AK152" s="4" t="inlineStr">
        <is>
          <t>&lt;br&gt;</t>
        </is>
      </c>
      <c r="AL152" s="42" t="inlineStr">
        <is>
          <t>&lt;b&gt;&lt;i&gt;</t>
        </is>
      </c>
      <c r="AM152" s="42" t="inlineStr">
        <is>
          <t>Secretary of State excluded &lt;br&gt;from holdback/reduction</t>
        </is>
      </c>
      <c r="AN152" s="42">
        <f>IF(ISBLANK(AM152),"","&lt;/i&gt;")</f>
        <v/>
      </c>
      <c r="AO152" s="35">
        <f>IF(ISBLANK(AQ152),"","&lt;/b&gt;&lt;br&gt;&lt;br&gt;")</f>
        <v/>
      </c>
      <c r="AP152" s="42">
        <f>IF(ISBLANK(AQ152),"","&lt;b&gt;")</f>
        <v/>
      </c>
      <c r="AQ152" s="47" t="inlineStr">
        <is>
          <t xml:space="preserve">Agency Reduction Plan:&lt;br&gt;Additional </t>
        </is>
      </c>
      <c r="AR152" s="42" t="n">
        <v>2</v>
      </c>
      <c r="AS152" s="4">
        <f>IF(ISBLANK(AR152),""," %")</f>
        <v/>
      </c>
      <c r="AT152" s="4">
        <f t="array" ref="AT152">_xlfn.IFS(NOT(ISBLANK(AU152))," (pgs. ",NOT(ISBLANK(AS152))," (pg. ", ISBLANK(AS152), "")</f>
        <v/>
      </c>
      <c r="AU152" s="52" t="n">
        <v>238</v>
      </c>
      <c r="AV152" s="4">
        <f>IF(ISBLANK(AW152),"",", ")</f>
        <v/>
      </c>
      <c r="AW152" s="42" t="n"/>
      <c r="AX152" s="4">
        <f>IF(ISBLANK(AY152),"",",&lt;br&gt;")</f>
        <v/>
      </c>
      <c r="AY152" s="42" t="n"/>
      <c r="AZ152" s="49">
        <f>IF(ISBLANK(AU152),"",")&lt;/b&gt;")</f>
        <v/>
      </c>
      <c r="BA152" s="4">
        <f>IF(ISBLANK(BC152),"","&lt;br&gt;")</f>
        <v/>
      </c>
      <c r="BB152" s="42">
        <f t="array" ref="BB152">IF(ISBLANK(BC152),"",_xlfn.LET(
_xlpm.words,_xlfn.TEXTSPLIT(TRIM(BC152),"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52" s="50" t="inlineStr">
        <is>
          <t>In my first budget as Secretary of State, the Legislature appropriated $10 million in onetime funding to modernize Idaho’s election technology. Through a careful review of how these systems are hosted and managed, we identified an opportunity to reduce long-term costs by transitioning hosting responsibilities to vendors. As a result, we have identified a total of $850,000 in one-time, FY26 funds we can revert back from the original appropriation while fully funding these systems for the originally proposed five years. This represents approximately 15 percent of the Secretary of State’s base budget and exceeds the combined FY26 and FY27 dollar value of the requested reductions, allowing us to contribute meaningfully to addressing the budget shortfall without creating operational risk.</t>
        </is>
      </c>
    </row>
    <row r="153">
      <c r="A153" s="20">
        <f>_xlfn.TEXTJOIN("", TRUE, F153:H153)</f>
        <v/>
      </c>
      <c r="B153" s="21">
        <f>_xlfn.TEXTJOIN("", TRUE, I153:S153)</f>
        <v/>
      </c>
      <c r="C153" s="21">
        <f>IF(ISBLANK(X153),"", _xlfn.TEXTJOIN("",TRUE,T153:Z153))</f>
        <v/>
      </c>
      <c r="D153" s="21">
        <f>IF(ISBLANK(AB153), "", _xlfn.TEXTJOIN("", TRUE, AA153:AC153))</f>
        <v/>
      </c>
      <c r="E153" s="22">
        <f>IF(AU153="NA", _xlfn.TEXTJOIN("", TRUE, AD153:AH153), _xlfn.TEXTJOIN("", TRUE, AD153:AJ153))</f>
        <v/>
      </c>
      <c r="F153" s="42">
        <f>IF(LEFT(G153,4)="FY26","&lt;b&gt;","&lt;i&gt;")</f>
        <v/>
      </c>
      <c r="G153" s="42" t="inlineStr">
        <is>
          <t>FY27 Maintenance</t>
        </is>
      </c>
      <c r="H153" s="42">
        <f>IF(LEFT(G153,4)="FY26","&lt;/b&gt;","&lt;/i&gt;")</f>
        <v/>
      </c>
      <c r="I153" s="43" t="inlineStr">
        <is>
          <t>&lt;i&gt;</t>
        </is>
      </c>
      <c r="J153" s="44" t="inlineStr">
        <is>
          <t>Constitutional Officers</t>
        </is>
      </c>
      <c r="K153" s="44" t="inlineStr">
        <is>
          <t>&lt;/i&gt;</t>
        </is>
      </c>
      <c r="L153" s="4">
        <f>IF(ISBLANK(N153),"","&lt;br&gt;")</f>
        <v/>
      </c>
      <c r="M153" s="42">
        <f>IF(ISBLANK(R153),"&lt;b&gt;","&lt;i&gt;")</f>
        <v/>
      </c>
      <c r="N153" s="42" t="inlineStr">
        <is>
          <t>State Controller</t>
        </is>
      </c>
      <c r="O153" s="42">
        <f>IF(ISBLANK(R153),"&lt;/b&gt;","&lt;/i&gt;")</f>
        <v/>
      </c>
      <c r="P153" s="4">
        <f>IF(ISBLANK(R153),"","&lt;br&gt;")</f>
        <v/>
      </c>
      <c r="Q153" s="42">
        <f>IF(ISBLANK(R153),"","&lt;b&gt;")</f>
        <v/>
      </c>
      <c r="R153" s="42" t="n"/>
      <c r="S153" s="42">
        <f>IF(ISBLANK(R153),"","&lt;/i&gt;")</f>
        <v/>
      </c>
      <c r="T153" s="43">
        <f>IF(ISBLANK(X153),"",IF(OR(AB153="PASSED",ISBLANK(N153)),"&lt;b&gt;","&lt;i&gt;"))</f>
        <v/>
      </c>
      <c r="U153" s="3">
        <f>IF(ISBLANK(V153),"","&lt;a href='")</f>
        <v/>
      </c>
      <c r="V153" s="13" t="inlineStr">
        <is>
          <t>https://legislature.idaho.gov/sessioninfo/rs/</t>
        </is>
      </c>
      <c r="W153" s="17">
        <f>IF(ISBLANK(V153),"","'&gt;")</f>
        <v/>
      </c>
      <c r="X153" s="12" t="inlineStr">
        <is>
          <t>Constitutional Officers</t>
        </is>
      </c>
      <c r="Y153" s="17">
        <f>IF(ISBLANK(X153),"","&lt;/a&gt;")</f>
        <v/>
      </c>
      <c r="Z153" s="42">
        <f>IF(ISBLANK(X153),"",IF(OR(AB153="PASSED",ISBLANK(N153)),"&lt;/b&gt;","&lt;/i&gt;"))</f>
        <v/>
      </c>
      <c r="AA153" s="43">
        <f>IF(AB153="PASSED","&lt;b&gt;","")</f>
        <v/>
      </c>
      <c r="AB153" s="45" t="inlineStr">
        <is>
          <t>INTRODUCED</t>
        </is>
      </c>
      <c r="AC153" s="43">
        <f>IF(AB153="PASSED","&lt;/b&gt;","")</f>
        <v/>
      </c>
      <c r="AD153" s="43">
        <f>IF(ISBLANK(AE153),"","&lt;b&gt;")</f>
        <v/>
      </c>
      <c r="AE153" s="51" t="inlineStr">
        <is>
          <t>02/13</t>
        </is>
      </c>
      <c r="AF153" s="42">
        <f>IF(ISBLANK(AE153),"",": ")</f>
        <v/>
      </c>
      <c r="AG153" s="42" t="inlineStr">
        <is>
          <t>FY27 reduction (-5%)</t>
        </is>
      </c>
      <c r="AH153" s="42">
        <f>IF(ISBLANK(AE153),"","&lt;/b&gt;")</f>
        <v/>
      </c>
      <c r="AI153" s="42" t="n"/>
      <c r="AJ153" s="42">
        <f>IF(ISBLANK(AI153),"","&lt;br&gt;"&amp;AI153)</f>
        <v/>
      </c>
      <c r="AK153" s="4" t="inlineStr">
        <is>
          <t>&lt;br&gt;</t>
        </is>
      </c>
      <c r="AL153" s="42" t="inlineStr">
        <is>
          <t>&lt;b&gt;&lt;i&gt;</t>
        </is>
      </c>
      <c r="AM153" s="42" t="inlineStr">
        <is>
          <t>Governor's 3% + JFAC's 2%</t>
        </is>
      </c>
      <c r="AN153" s="42">
        <f>IF(ISBLANK(AM153),"","&lt;/i&gt;")</f>
        <v/>
      </c>
      <c r="AO153" s="35">
        <f>IF(ISBLANK(AQ153),"","&lt;/b&gt;&lt;br&gt;&lt;br&gt;")</f>
        <v/>
      </c>
      <c r="AP153" s="42">
        <f>IF(ISBLANK(AQ153),"","&lt;b&gt;")</f>
        <v/>
      </c>
      <c r="AQ153" s="47" t="inlineStr">
        <is>
          <t xml:space="preserve">Agency Reduction Plan:&lt;br&gt;Additional </t>
        </is>
      </c>
      <c r="AR153" s="42" t="n">
        <v>2</v>
      </c>
      <c r="AS153" s="4">
        <f>IF(ISBLANK(AR153),""," %")</f>
        <v/>
      </c>
      <c r="AT153" s="4">
        <f t="array" ref="AT153">_xlfn.IFS(NOT(ISBLANK(AU153))," (pgs. ",NOT(ISBLANK(AS153))," (pg. ", ISBLANK(AS153), "")</f>
        <v/>
      </c>
      <c r="AU153" s="52" t="n">
        <v>195</v>
      </c>
      <c r="AV153" s="4">
        <f>IF(ISBLANK(AW153),"",", ")</f>
        <v/>
      </c>
      <c r="AW153" s="42" t="n"/>
      <c r="AX153" s="4">
        <f>IF(ISBLANK(AY153),"",",&lt;br&gt;")</f>
        <v/>
      </c>
      <c r="AY153" s="42" t="n"/>
      <c r="AZ153" s="49">
        <f>IF(ISBLANK(AU153),"",")&lt;/b&gt;")</f>
        <v/>
      </c>
      <c r="BA153" s="4">
        <f>IF(ISBLANK(BC153),"","&lt;br&gt;")</f>
        <v/>
      </c>
      <c r="BB153" s="42">
        <f t="array" ref="BB153">IF(ISBLANK(BC153),"",_xlfn.LET(
_xlpm.words,_xlfn.TEXTSPLIT(TRIM(BC153),"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53" s="50" t="inlineStr">
        <is>
          <t>Local Government Reporting &amp; Transparency initiatives; State Annual Comprehensive Financial Report data compilation and reporting application; Statewide budget development application support; Luma agency support services contract</t>
        </is>
      </c>
    </row>
    <row r="154">
      <c r="A154" s="20">
        <f>_xlfn.TEXTJOIN("", TRUE, F154:H154)</f>
        <v/>
      </c>
      <c r="B154" s="21">
        <f>_xlfn.TEXTJOIN("", TRUE, I154:S154)</f>
        <v/>
      </c>
      <c r="C154" s="21">
        <f>IF(ISBLANK(X154),"", _xlfn.TEXTJOIN("",TRUE,T154:Z154))</f>
        <v/>
      </c>
      <c r="D154" s="21">
        <f>IF(ISBLANK(AB154), "", _xlfn.TEXTJOIN("", TRUE, AA154:AC154))</f>
        <v/>
      </c>
      <c r="E154" s="22">
        <f>IF(AU154="NA", _xlfn.TEXTJOIN("", TRUE, AD154:AH154), _xlfn.TEXTJOIN("", TRUE, AD154:AJ154))</f>
        <v/>
      </c>
      <c r="F154" s="42">
        <f>IF(LEFT(G154,4)="FY26","&lt;b&gt;","&lt;i&gt;")</f>
        <v/>
      </c>
      <c r="G154" s="42" t="inlineStr">
        <is>
          <t>FY27 Maintenance</t>
        </is>
      </c>
      <c r="H154" s="42">
        <f>IF(LEFT(G154,4)="FY26","&lt;/b&gt;","&lt;/i&gt;")</f>
        <v/>
      </c>
      <c r="I154" s="43" t="inlineStr">
        <is>
          <t>&lt;i&gt;</t>
        </is>
      </c>
      <c r="J154" s="44" t="inlineStr">
        <is>
          <t>Constitutional Officers</t>
        </is>
      </c>
      <c r="K154" s="44" t="inlineStr">
        <is>
          <t>&lt;/i&gt;</t>
        </is>
      </c>
      <c r="L154" s="4">
        <f>IF(ISBLANK(N154),"","&lt;br&gt;")</f>
        <v/>
      </c>
      <c r="M154" s="42">
        <f>IF(ISBLANK(R154),"&lt;b&gt;","&lt;i&gt;")</f>
        <v/>
      </c>
      <c r="N154" s="42" t="inlineStr">
        <is>
          <t>State Treasurer</t>
        </is>
      </c>
      <c r="O154" s="42">
        <f>IF(ISBLANK(R154),"&lt;/b&gt;","&lt;/i&gt;")</f>
        <v/>
      </c>
      <c r="P154" s="4">
        <f>IF(ISBLANK(R154),"","&lt;br&gt;")</f>
        <v/>
      </c>
      <c r="Q154" s="42">
        <f>IF(ISBLANK(R154),"","&lt;b&gt;")</f>
        <v/>
      </c>
      <c r="R154" s="42" t="n"/>
      <c r="S154" s="42">
        <f>IF(ISBLANK(R154),"","&lt;/i&gt;")</f>
        <v/>
      </c>
      <c r="T154" s="43">
        <f>IF(ISBLANK(X154),"",IF(OR(AB154="PASSED",ISBLANK(N154)),"&lt;b&gt;","&lt;i&gt;"))</f>
        <v/>
      </c>
      <c r="U154" s="3">
        <f>IF(ISBLANK(V154),"","&lt;a href='")</f>
        <v/>
      </c>
      <c r="V154" s="13" t="inlineStr">
        <is>
          <t>https://legislature.idaho.gov/sessioninfo/rs/</t>
        </is>
      </c>
      <c r="W154" s="17">
        <f>IF(ISBLANK(V154),"","'&gt;")</f>
        <v/>
      </c>
      <c r="X154" s="12" t="inlineStr">
        <is>
          <t>Constitutional Officers</t>
        </is>
      </c>
      <c r="Y154" s="17">
        <f>IF(ISBLANK(X154),"","&lt;/a&gt;")</f>
        <v/>
      </c>
      <c r="Z154" s="42">
        <f>IF(ISBLANK(X154),"",IF(OR(AB154="PASSED",ISBLANK(N154)),"&lt;/b&gt;","&lt;/i&gt;"))</f>
        <v/>
      </c>
      <c r="AA154" s="43">
        <f>IF(AB154="PASSED","&lt;b&gt;","")</f>
        <v/>
      </c>
      <c r="AB154" s="45" t="inlineStr">
        <is>
          <t>INTRODUCED</t>
        </is>
      </c>
      <c r="AC154" s="43">
        <f>IF(AB154="PASSED","&lt;/b&gt;","")</f>
        <v/>
      </c>
      <c r="AD154" s="43">
        <f>IF(ISBLANK(AE154),"","&lt;b&gt;")</f>
        <v/>
      </c>
      <c r="AE154" s="51" t="inlineStr">
        <is>
          <t>02/13</t>
        </is>
      </c>
      <c r="AF154" s="42">
        <f>IF(ISBLANK(AE154),"",": ")</f>
        <v/>
      </c>
      <c r="AG154" s="42" t="inlineStr">
        <is>
          <t>FY27 reduction (-5%)</t>
        </is>
      </c>
      <c r="AH154" s="42">
        <f>IF(ISBLANK(AE154),"","&lt;/b&gt;")</f>
        <v/>
      </c>
      <c r="AI154" s="42" t="n"/>
      <c r="AJ154" s="42">
        <f>IF(ISBLANK(AI154),"","&lt;br&gt;"&amp;AI154)</f>
        <v/>
      </c>
      <c r="AK154" s="4" t="inlineStr">
        <is>
          <t>&lt;br&gt;</t>
        </is>
      </c>
      <c r="AL154" s="42" t="inlineStr">
        <is>
          <t>&lt;b&gt;&lt;i&gt;</t>
        </is>
      </c>
      <c r="AM154" s="42" t="inlineStr">
        <is>
          <t>Governor's 3% + JFAC's 2%</t>
        </is>
      </c>
      <c r="AN154" s="42">
        <f>IF(ISBLANK(AM154),"","&lt;/i&gt;")</f>
        <v/>
      </c>
      <c r="AO154" s="35">
        <f>IF(ISBLANK(AQ154),"","&lt;/b&gt;&lt;br&gt;&lt;br&gt;")</f>
        <v/>
      </c>
      <c r="AP154" s="42">
        <f>IF(ISBLANK(AQ154),"","&lt;b&gt;")</f>
        <v/>
      </c>
      <c r="AQ154" s="47" t="inlineStr">
        <is>
          <t xml:space="preserve">Agency Reduction Plan:&lt;br&gt;Additional </t>
        </is>
      </c>
      <c r="AR154" s="42" t="n">
        <v>2</v>
      </c>
      <c r="AS154" s="4">
        <f>IF(ISBLANK(AR154),""," %")</f>
        <v/>
      </c>
      <c r="AT154" s="4">
        <f t="array" ref="AT154">_xlfn.IFS(NOT(ISBLANK(AU154))," (pgs. ",NOT(ISBLANK(AS154))," (pg. ", ISBLANK(AS154), "")</f>
        <v/>
      </c>
      <c r="AU154" s="52" t="n">
        <v>240</v>
      </c>
      <c r="AV154" s="4">
        <f>IF(ISBLANK(AW154),"",", ")</f>
        <v/>
      </c>
      <c r="AW154" s="42" t="n"/>
      <c r="AX154" s="4">
        <f>IF(ISBLANK(AY154),"",",&lt;br&gt;")</f>
        <v/>
      </c>
      <c r="AY154" s="42" t="n"/>
      <c r="AZ154" s="49">
        <f>IF(ISBLANK(AU154),"",")&lt;/b&gt;")</f>
        <v/>
      </c>
      <c r="BA154" s="4">
        <f>IF(ISBLANK(BC154),"","&lt;br&gt;")</f>
        <v/>
      </c>
      <c r="BB154" s="42">
        <f t="array" ref="BB154">IF(ISBLANK(BC154),"",_xlfn.LET(
_xlpm.words,_xlfn.TEXTSPLIT(TRIM(BC154),"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54" s="50" t="inlineStr">
        <is>
          <t>No formal reductions in force or furloughs. Potential for shortage in operational funds for bank services. Reduced training for staff.</t>
        </is>
      </c>
    </row>
    <row r="155">
      <c r="A155" s="20">
        <f>_xlfn.TEXTJOIN("", TRUE, F155:H155)</f>
        <v/>
      </c>
      <c r="B155" s="21">
        <f>_xlfn.TEXTJOIN("", TRUE, I155:S155)</f>
        <v/>
      </c>
      <c r="C155" s="21">
        <f>IF(ISBLANK(X155),"", _xlfn.TEXTJOIN("",TRUE,T155:Z155))</f>
        <v/>
      </c>
      <c r="D155" s="21">
        <f>IF(ISBLANK(AB155), "", _xlfn.TEXTJOIN("", TRUE, AA155:AC155))</f>
        <v/>
      </c>
      <c r="E155" s="22">
        <f>IF(AU155="NA", _xlfn.TEXTJOIN("", TRUE, AD155:AH155), _xlfn.TEXTJOIN("", TRUE, AD155:AJ155))</f>
        <v/>
      </c>
      <c r="F155" s="42">
        <f>IF(LEFT(G155,4)="FY26","&lt;b&gt;","&lt;i&gt;")</f>
        <v/>
      </c>
      <c r="G155" s="42" t="inlineStr">
        <is>
          <t>FY27 Maintenance</t>
        </is>
      </c>
      <c r="H155" s="42">
        <f>IF(LEFT(G155,4)="FY26","&lt;/b&gt;","&lt;/i&gt;")</f>
        <v/>
      </c>
      <c r="I155" s="43" t="inlineStr">
        <is>
          <t>&lt;i&gt;</t>
        </is>
      </c>
      <c r="J155" s="44" t="inlineStr">
        <is>
          <t>Constitutional Officers</t>
        </is>
      </c>
      <c r="K155" s="44" t="inlineStr">
        <is>
          <t>&lt;/i&gt;</t>
        </is>
      </c>
      <c r="L155" s="4">
        <f>IF(ISBLANK(N155),"","&lt;br&gt;")</f>
        <v/>
      </c>
      <c r="M155" s="42">
        <f>IF(ISBLANK(R155),"&lt;b&gt;","&lt;i&gt;")</f>
        <v/>
      </c>
      <c r="N155" s="42" t="inlineStr">
        <is>
          <t>State Treasurer</t>
        </is>
      </c>
      <c r="O155" s="42">
        <f>IF(ISBLANK(R155),"&lt;/b&gt;","&lt;/i&gt;")</f>
        <v/>
      </c>
      <c r="P155" s="4">
        <f>IF(ISBLANK(R155),"","&lt;br&gt;")</f>
        <v/>
      </c>
      <c r="Q155" s="42">
        <f>IF(ISBLANK(R155),"","&lt;b&gt;")</f>
        <v/>
      </c>
      <c r="R155" s="42" t="inlineStr">
        <is>
          <t>Millennium Fund</t>
        </is>
      </c>
      <c r="S155" s="42">
        <f>IF(ISBLANK(R155),"","&lt;/i&gt;")</f>
        <v/>
      </c>
      <c r="T155" s="43">
        <f>IF(ISBLANK(X155),"",IF(OR(AB155="PASSED",ISBLANK(N155)),"&lt;b&gt;","&lt;i&gt;"))</f>
        <v/>
      </c>
      <c r="U155" s="3">
        <f>IF(ISBLANK(V155),"","&lt;a href='")</f>
        <v/>
      </c>
      <c r="V155" s="13" t="inlineStr">
        <is>
          <t>https://legislature.idaho.gov/sessioninfo/rs/</t>
        </is>
      </c>
      <c r="W155" s="17">
        <f>IF(ISBLANK(V155),"","'&gt;")</f>
        <v/>
      </c>
      <c r="X155" s="12" t="inlineStr">
        <is>
          <t>Constitutional Officers</t>
        </is>
      </c>
      <c r="Y155" s="17">
        <f>IF(ISBLANK(X155),"","&lt;/a&gt;")</f>
        <v/>
      </c>
      <c r="Z155" s="42">
        <f>IF(ISBLANK(X155),"",IF(OR(AB155="PASSED",ISBLANK(N155)),"&lt;/b&gt;","&lt;/i&gt;"))</f>
        <v/>
      </c>
      <c r="AA155" s="43">
        <f>IF(AB155="PASSED","&lt;b&gt;","")</f>
        <v/>
      </c>
      <c r="AB155" s="45" t="inlineStr">
        <is>
          <t>INTRODUCED</t>
        </is>
      </c>
      <c r="AC155" s="43">
        <f>IF(AB155="PASSED","&lt;/b&gt;","")</f>
        <v/>
      </c>
      <c r="AD155" s="43">
        <f>IF(ISBLANK(AE155),"","&lt;b&gt;")</f>
        <v/>
      </c>
      <c r="AE155" s="51" t="inlineStr">
        <is>
          <t>02/13</t>
        </is>
      </c>
      <c r="AF155" s="42">
        <f>IF(ISBLANK(AE155),"",": ")</f>
        <v/>
      </c>
      <c r="AG155" s="42" t="inlineStr">
        <is>
          <t>FY27 reduction (-5%)</t>
        </is>
      </c>
      <c r="AH155" s="42">
        <f>IF(ISBLANK(AE155),"","&lt;/b&gt;")</f>
        <v/>
      </c>
      <c r="AI155" s="42" t="n"/>
      <c r="AJ155" s="42">
        <f>IF(ISBLANK(AI155),"","&lt;br&gt;"&amp;AI155)</f>
        <v/>
      </c>
      <c r="AK155" s="4" t="inlineStr">
        <is>
          <t>&lt;br&gt;</t>
        </is>
      </c>
      <c r="AL155" s="42" t="inlineStr">
        <is>
          <t>&lt;b&gt;&lt;i&gt;</t>
        </is>
      </c>
      <c r="AM155" s="42" t="inlineStr">
        <is>
          <t>Governor's 3% + JFAC's 2%</t>
        </is>
      </c>
      <c r="AN155" s="42">
        <f>IF(ISBLANK(AM155),"","&lt;/i&gt;")</f>
        <v/>
      </c>
      <c r="AO155" s="35">
        <f>IF(ISBLANK(AQ155),"","&lt;/b&gt;&lt;br&gt;&lt;br&gt;")</f>
        <v/>
      </c>
      <c r="AP155" s="42">
        <f>IF(ISBLANK(AQ155),"","&lt;b&gt;")</f>
        <v/>
      </c>
      <c r="AQ155" s="47" t="inlineStr">
        <is>
          <t xml:space="preserve">Agency Reduction Plan:&lt;br&gt;Additional </t>
        </is>
      </c>
      <c r="AR155" s="42" t="n">
        <v>2</v>
      </c>
      <c r="AS155" s="4">
        <f>IF(ISBLANK(AR155),""," %")</f>
        <v/>
      </c>
      <c r="AT155" s="4">
        <f t="array" ref="AT155">_xlfn.IFS(NOT(ISBLANK(AU155))," (pgs. ",NOT(ISBLANK(AS155))," (pg. ", ISBLANK(AS155), "")</f>
        <v/>
      </c>
      <c r="AU155" s="52" t="inlineStr">
        <is>
          <t>NA</t>
        </is>
      </c>
      <c r="AV155" s="4">
        <f>IF(ISBLANK(AW155),"",", ")</f>
        <v/>
      </c>
      <c r="AW155" s="42" t="n"/>
      <c r="AX155" s="4">
        <f>IF(ISBLANK(AY155),"",",&lt;br&gt;")</f>
        <v/>
      </c>
      <c r="AY155" s="42" t="n"/>
      <c r="AZ155" s="49">
        <f>IF(ISBLANK(AU155),"",")&lt;/b&gt;")</f>
        <v/>
      </c>
      <c r="BA155" s="4">
        <f>IF(ISBLANK(BC155),"","&lt;br&gt;")</f>
        <v/>
      </c>
      <c r="BB155" s="42">
        <f t="array" ref="BB155">IF(ISBLANK(BC155),"",_xlfn.LET(
_xlpm.words,_xlfn.TEXTSPLIT(TRIM(BC155),"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55" s="50" t="n"/>
    </row>
    <row r="156">
      <c r="A156" s="20">
        <f>_xlfn.TEXTJOIN("", TRUE, F156:H156)</f>
        <v/>
      </c>
      <c r="B156" s="21">
        <f>_xlfn.TEXTJOIN("", TRUE, I156:S156)</f>
        <v/>
      </c>
      <c r="C156" s="21">
        <f>IF(ISBLANK(X156),"", _xlfn.TEXTJOIN("",TRUE,T156:Z156))</f>
        <v/>
      </c>
      <c r="D156" s="21">
        <f>IF(ISBLANK(AB156), "", _xlfn.TEXTJOIN("", TRUE, AA156:AC156))</f>
        <v/>
      </c>
      <c r="E156" s="22">
        <f>IF(AU156="NA", _xlfn.TEXTJOIN("", TRUE, AD156:AH156), _xlfn.TEXTJOIN("", TRUE, AD156:AJ156))</f>
        <v/>
      </c>
      <c r="F156" s="42">
        <f>IF(LEFT(G156,4)="FY26","&lt;b&gt;","&lt;i&gt;")</f>
        <v/>
      </c>
      <c r="G156" s="42" t="inlineStr">
        <is>
          <t>FY27 Maintenance</t>
        </is>
      </c>
      <c r="H156" s="42">
        <f>IF(LEFT(G156,4)="FY26","&lt;/b&gt;","&lt;/i&gt;")</f>
        <v/>
      </c>
      <c r="I156" s="43" t="inlineStr">
        <is>
          <t>&lt;i&gt;</t>
        </is>
      </c>
      <c r="J156" s="44" t="inlineStr">
        <is>
          <t>Economic Development</t>
        </is>
      </c>
      <c r="K156" s="44" t="inlineStr">
        <is>
          <t>&lt;/i&gt;</t>
        </is>
      </c>
      <c r="L156" s="42">
        <f>IF(ISBLANK(N156),"","&lt;br&gt;")</f>
        <v/>
      </c>
      <c r="M156" s="42">
        <f>IF(ISBLANK(R156),"&lt;b&gt;","&lt;i&gt;")</f>
        <v/>
      </c>
      <c r="N156" s="42" t="n"/>
      <c r="O156" s="42">
        <f>IF(ISBLANK(R156),"&lt;/b&gt;","&lt;/i&gt;")</f>
        <v/>
      </c>
      <c r="P156" s="4">
        <f>IF(ISBLANK(R156),"","&lt;br&gt;")</f>
        <v/>
      </c>
      <c r="Q156" s="42">
        <f>IF(ISBLANK(R156),"","&lt;b&gt;")</f>
        <v/>
      </c>
      <c r="R156" s="42" t="n"/>
      <c r="S156" s="42">
        <f>IF(ISBLANK(R156),"","&lt;/i&gt;")</f>
        <v/>
      </c>
      <c r="T156" s="43">
        <f>IF(ISBLANK(X156),"",IF(OR(AB156="PASSED",ISBLANK(N156)),"&lt;b&gt;","&lt;i&gt;"))</f>
        <v/>
      </c>
      <c r="U156" s="3">
        <f>IF(ISBLANK(V156),"","&lt;a href='")</f>
        <v/>
      </c>
      <c r="V156" s="39" t="inlineStr">
        <is>
          <t>https://legislature.idaho.gov/sessioninfo/2026/legislation/S1373/</t>
        </is>
      </c>
      <c r="W156" s="17">
        <f>IF(ISBLANK(V156),"","'&gt;")</f>
        <v/>
      </c>
      <c r="X156" s="12" t="inlineStr">
        <is>
          <t>Senate Bill 1373</t>
        </is>
      </c>
      <c r="Y156" s="17">
        <f>IF(ISBLANK(X156),"","&lt;/a&gt;")</f>
        <v/>
      </c>
      <c r="Z156" s="42">
        <f>IF(ISBLANK(X156),"",IF(OR(AB156="PASSED",ISBLANK(N156)),"&lt;/b&gt;","&lt;/i&gt;"))</f>
        <v/>
      </c>
      <c r="AA156" s="43">
        <f>IF(AB156="PASSED","&lt;b&gt;","")</f>
        <v/>
      </c>
      <c r="AB156" s="45" t="inlineStr">
        <is>
          <t>INTRODUCED</t>
        </is>
      </c>
      <c r="AC156" s="43">
        <f>IF(AB156="PASSED","&lt;/b&gt;","")</f>
        <v/>
      </c>
      <c r="AD156" s="43">
        <f>IF(ISBLANK(AE156),"","&lt;b&gt;")</f>
        <v/>
      </c>
      <c r="AE156" s="51" t="inlineStr">
        <is>
          <t>02/13</t>
        </is>
      </c>
      <c r="AF156" s="42">
        <f>IF(ISBLANK(AE156),"",": ")</f>
        <v/>
      </c>
      <c r="AG156" s="42" t="inlineStr">
        <is>
          <t>FY27 maintenance (-5%)</t>
        </is>
      </c>
      <c r="AH156" s="42">
        <f>IF(ISBLANK(AE156),"","&lt;/b&gt;")</f>
        <v/>
      </c>
      <c r="AI156" s="42" t="n"/>
      <c r="AJ156" s="42">
        <f>IF(ISBLANK(AI156),"","&lt;br&gt;"&amp;AI156)</f>
        <v/>
      </c>
      <c r="AK156" s="4" t="inlineStr">
        <is>
          <t>&lt;br&gt;</t>
        </is>
      </c>
      <c r="AL156" s="42" t="inlineStr">
        <is>
          <t>&lt;b&gt;&lt;i&gt;</t>
        </is>
      </c>
      <c r="AM156" s="42" t="inlineStr">
        <is>
          <t>Governor's 3% + JFAC's 2%</t>
        </is>
      </c>
      <c r="AN156" s="42">
        <f>IF(ISBLANK(AM156),"","&lt;/i&gt;")</f>
        <v/>
      </c>
      <c r="AO156" s="35">
        <f>IF(ISBLANK(AQ156),"","&lt;/b&gt;&lt;br&gt;&lt;br&gt;")</f>
        <v/>
      </c>
      <c r="AP156" s="42">
        <f>IF(ISBLANK(AQ156),"","&lt;b&gt;")</f>
        <v/>
      </c>
      <c r="AQ156" s="42" t="n"/>
      <c r="AR156" s="4" t="n"/>
      <c r="AS156" s="4">
        <f>IF(ISBLANK(AR156),""," %")</f>
        <v/>
      </c>
      <c r="AT156" s="4">
        <f t="array" ref="AT156">_xlfn.IFS(NOT(ISBLANK(AU156))," (pgs. ",NOT(ISBLANK(AS156))," (pg. ", ISBLANK(AS156), "")</f>
        <v/>
      </c>
      <c r="AU156" s="42" t="n"/>
      <c r="AV156" s="4">
        <f>IF(ISBLANK(AW156),"",", ")</f>
        <v/>
      </c>
      <c r="AW156" s="42" t="n"/>
      <c r="AX156" s="4">
        <f>IF(ISBLANK(AY156),"",",&lt;br&gt;")</f>
        <v/>
      </c>
      <c r="AY156" s="42" t="n"/>
      <c r="AZ156" s="49">
        <f>IF(ISBLANK(AU156),"",")&lt;/b&gt;")</f>
        <v/>
      </c>
      <c r="BA156" s="4">
        <f>IF(ISBLANK(BC156),"","&lt;br&gt;")</f>
        <v/>
      </c>
      <c r="BB156" s="42">
        <f t="array" ref="BB156">IF(ISBLANK(BC156),"",_xlfn.LET(
_xlpm.words,_xlfn.TEXTSPLIT(TRIM(BC156),"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56" s="50" t="n"/>
    </row>
    <row r="157">
      <c r="A157" s="20">
        <f>_xlfn.TEXTJOIN("", TRUE, F157:H157)</f>
        <v/>
      </c>
      <c r="B157" s="21">
        <f>_xlfn.TEXTJOIN("", TRUE, I157:S157)</f>
        <v/>
      </c>
      <c r="C157" s="21">
        <f>IF(ISBLANK(X157),"", _xlfn.TEXTJOIN("",TRUE,T157:Z157))</f>
        <v/>
      </c>
      <c r="D157" s="21">
        <f>IF(ISBLANK(AB157), "", _xlfn.TEXTJOIN("", TRUE, AA157:AC157))</f>
        <v/>
      </c>
      <c r="E157" s="22">
        <f>IF(AU157="NA", _xlfn.TEXTJOIN("", TRUE, AD157:AH157), _xlfn.TEXTJOIN("", TRUE, AD157:AJ157))</f>
        <v/>
      </c>
      <c r="F157" s="42">
        <f>IF(LEFT(G157,4)="FY26","&lt;b&gt;","&lt;i&gt;")</f>
        <v/>
      </c>
      <c r="G157" s="42" t="inlineStr">
        <is>
          <t>FY27 Maintenance</t>
        </is>
      </c>
      <c r="H157" s="42">
        <f>IF(LEFT(G157,4)="FY26","&lt;/b&gt;","&lt;/i&gt;")</f>
        <v/>
      </c>
      <c r="I157" s="43" t="inlineStr">
        <is>
          <t>&lt;i&gt;</t>
        </is>
      </c>
      <c r="J157" s="44" t="inlineStr">
        <is>
          <t>Economic Development</t>
        </is>
      </c>
      <c r="K157" s="44" t="inlineStr">
        <is>
          <t>&lt;/i&gt;</t>
        </is>
      </c>
      <c r="L157" s="4">
        <f>IF(ISBLANK(N157),"","&lt;br&gt;")</f>
        <v/>
      </c>
      <c r="M157" s="42">
        <f>IF(ISBLANK(R157),"&lt;b&gt;","&lt;i&gt;")</f>
        <v/>
      </c>
      <c r="N157" s="42" t="inlineStr">
        <is>
          <t>Dept. of Agriculture</t>
        </is>
      </c>
      <c r="O157" s="42">
        <f>IF(ISBLANK(R157),"&lt;/b&gt;","&lt;/i&gt;")</f>
        <v/>
      </c>
      <c r="P157" s="4">
        <f>IF(ISBLANK(R157),"","&lt;br&gt;")</f>
        <v/>
      </c>
      <c r="Q157" s="42">
        <f>IF(ISBLANK(R157),"","&lt;b&gt;")</f>
        <v/>
      </c>
      <c r="R157" s="42" t="n"/>
      <c r="S157" s="42">
        <f>IF(ISBLANK(R157),"","&lt;/i&gt;")</f>
        <v/>
      </c>
      <c r="T157" s="43">
        <f>IF(ISBLANK(X157),"",IF(OR(AB157="PASSED",ISBLANK(N157)),"&lt;b&gt;","&lt;i&gt;"))</f>
        <v/>
      </c>
      <c r="U157" s="3">
        <f>IF(ISBLANK(V157),"","&lt;a href='")</f>
        <v/>
      </c>
      <c r="V157" s="39" t="inlineStr">
        <is>
          <t>https://legislature.idaho.gov/sessioninfo/2026/legislation/S1373/</t>
        </is>
      </c>
      <c r="W157" s="17">
        <f>IF(ISBLANK(V157),"","'&gt;")</f>
        <v/>
      </c>
      <c r="X157" s="12" t="inlineStr">
        <is>
          <t>Senate Bill 1373</t>
        </is>
      </c>
      <c r="Y157" s="17">
        <f>IF(ISBLANK(X157),"","&lt;/a&gt;")</f>
        <v/>
      </c>
      <c r="Z157" s="42">
        <f>IF(ISBLANK(X157),"",IF(OR(AB157="PASSED",ISBLANK(N157)),"&lt;/b&gt;","&lt;/i&gt;"))</f>
        <v/>
      </c>
      <c r="AA157" s="43">
        <f>IF(AB157="PASSED","&lt;b&gt;","")</f>
        <v/>
      </c>
      <c r="AB157" s="45" t="inlineStr">
        <is>
          <t>INTRODUCED</t>
        </is>
      </c>
      <c r="AC157" s="43">
        <f>IF(AB157="PASSED","&lt;/b&gt;","")</f>
        <v/>
      </c>
      <c r="AD157" s="43">
        <f>IF(ISBLANK(AE157),"","&lt;b&gt;")</f>
        <v/>
      </c>
      <c r="AE157" s="51" t="inlineStr">
        <is>
          <t>02/13</t>
        </is>
      </c>
      <c r="AF157" s="42">
        <f>IF(ISBLANK(AE157),"",": ")</f>
        <v/>
      </c>
      <c r="AG157" s="42" t="inlineStr">
        <is>
          <t>FY27 reduction (-5%)</t>
        </is>
      </c>
      <c r="AH157" s="42">
        <f>IF(ISBLANK(AE157),"","&lt;/b&gt;")</f>
        <v/>
      </c>
      <c r="AI157" s="42" t="n"/>
      <c r="AJ157" s="42">
        <f>IF(ISBLANK(AI157),"","&lt;br&gt;"&amp;AI157)</f>
        <v/>
      </c>
      <c r="AK157" s="4" t="inlineStr">
        <is>
          <t>&lt;br&gt;</t>
        </is>
      </c>
      <c r="AL157" s="42" t="inlineStr">
        <is>
          <t>&lt;b&gt;&lt;i&gt;</t>
        </is>
      </c>
      <c r="AM157" s="42" t="inlineStr">
        <is>
          <t>Governor's 3% + JFAC's 2%</t>
        </is>
      </c>
      <c r="AN157" s="42">
        <f>IF(ISBLANK(AM157),"","&lt;/i&gt;")</f>
        <v/>
      </c>
      <c r="AO157" s="35">
        <f>IF(ISBLANK(AQ157),"","&lt;/b&gt;&lt;br&gt;&lt;br&gt;")</f>
        <v/>
      </c>
      <c r="AP157" s="42">
        <f>IF(ISBLANK(AQ157),"","&lt;b&gt;")</f>
        <v/>
      </c>
      <c r="AQ157" s="47" t="inlineStr">
        <is>
          <t xml:space="preserve">Agency Reduction Plan:&lt;br&gt;Additional </t>
        </is>
      </c>
      <c r="AR157" s="42" t="n">
        <v>2</v>
      </c>
      <c r="AS157" s="4">
        <f>IF(ISBLANK(AR157),""," %")</f>
        <v/>
      </c>
      <c r="AT157" s="4">
        <f t="array" ref="AT157">_xlfn.IFS(NOT(ISBLANK(AU157))," (pgs. ",NOT(ISBLANK(AS157))," (pg. ", ISBLANK(AS157), "")</f>
        <v/>
      </c>
      <c r="AU157" s="52" t="n">
        <v>144</v>
      </c>
      <c r="AV157" s="4">
        <f>IF(ISBLANK(AW157),"",", ")</f>
        <v/>
      </c>
      <c r="AW157" s="42" t="n"/>
      <c r="AX157" s="4">
        <f>IF(ISBLANK(AY157),"",",&lt;br&gt;")</f>
        <v/>
      </c>
      <c r="AY157" s="42" t="n"/>
      <c r="AZ157" s="49">
        <f>IF(ISBLANK(AU157),"",")&lt;/b&gt;")</f>
        <v/>
      </c>
      <c r="BA157" s="4">
        <f>IF(ISBLANK(BC157),"","&lt;br&gt;")</f>
        <v/>
      </c>
      <c r="BB157" s="42">
        <f t="array" ref="BB157">IF(ISBLANK(BC157),"",_xlfn.LET(
_xlpm.words,_xlfn.TEXTSPLIT(TRIM(BC157),"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57" s="50" t="inlineStr">
        <is>
          <t>The ISDA administration division receives general fund for operations. Administration also charges an overhead rate of 4% on revenues received from the various dedicated programs of the agency with caps to some of the larger programs. The administration dedicated fund 12501 has a fund balance sufficient to shift some operations. The Plants Division accounts for over 50% of the General Funds by ISDA, with the bulk of that funding going towards invasive species and noxious weed prevention, treatment, and Cooperative Weed Management Area (CWMA) projects. The Invasive Species and Noxious Weeds programs accounted for $7.2 million of the $8.2 million of General Funds for Plants. The reduction in noxious weed funding is unavoidable given the significant percentage of the budget. This Noxious Weed funding is distributed as passthrough funding for projects implemented by CWMAs. The Invasive Species Program receives nearly one-third of the agency's total General Fund appropriation. While the agency avoided cuts to this program in the previous FY26 recission, the agency is now reviewing and prioritizing operations and watercraft inspection locations. This proposal reflects a cut to watercraft inspection station operations. We would propose delaying opening at five stations to decrease FY26 costs - Rose Lake, Boundary, Samuels, Kooskia and Dubois. Two stations - Kooskia and Dubois - are operated directly by ISDA; while Samuels, Rose Lake, and Boundary are operated by cooperators.</t>
        </is>
      </c>
    </row>
    <row r="158">
      <c r="A158" s="20">
        <f>_xlfn.TEXTJOIN("", TRUE, F158:H158)</f>
        <v/>
      </c>
      <c r="B158" s="21">
        <f>_xlfn.TEXTJOIN("", TRUE, I158:S158)</f>
        <v/>
      </c>
      <c r="C158" s="21">
        <f>IF(ISBLANK(X158),"", _xlfn.TEXTJOIN("",TRUE,T158:Z158))</f>
        <v/>
      </c>
      <c r="D158" s="21">
        <f>IF(ISBLANK(AB158), "", _xlfn.TEXTJOIN("", TRUE, AA158:AC158))</f>
        <v/>
      </c>
      <c r="E158" s="22">
        <f>IF(AU158="NA", _xlfn.TEXTJOIN("", TRUE, AD158:AH158), _xlfn.TEXTJOIN("", TRUE, AD158:AJ158))</f>
        <v/>
      </c>
      <c r="F158" s="42">
        <f>IF(LEFT(G158,4)="FY26","&lt;b&gt;","&lt;i&gt;")</f>
        <v/>
      </c>
      <c r="G158" s="42" t="inlineStr">
        <is>
          <t>FY27 Maintenance</t>
        </is>
      </c>
      <c r="H158" s="42">
        <f>IF(LEFT(G158,4)="FY26","&lt;/b&gt;","&lt;/i&gt;")</f>
        <v/>
      </c>
      <c r="I158" s="43" t="inlineStr">
        <is>
          <t>&lt;i&gt;</t>
        </is>
      </c>
      <c r="J158" s="44" t="inlineStr">
        <is>
          <t>Economic Development</t>
        </is>
      </c>
      <c r="K158" s="44" t="inlineStr">
        <is>
          <t>&lt;/i&gt;</t>
        </is>
      </c>
      <c r="L158" s="4">
        <f>IF(ISBLANK(N158),"","&lt;br&gt;")</f>
        <v/>
      </c>
      <c r="M158" s="42">
        <f>IF(ISBLANK(R158),"&lt;b&gt;","&lt;i&gt;")</f>
        <v/>
      </c>
      <c r="N158" s="42" t="inlineStr">
        <is>
          <t>Dept. of Agriculture</t>
        </is>
      </c>
      <c r="O158" s="42">
        <f>IF(ISBLANK(R158),"&lt;/b&gt;","&lt;/i&gt;")</f>
        <v/>
      </c>
      <c r="P158" s="4">
        <f>IF(ISBLANK(R158),"","&lt;br&gt;")</f>
        <v/>
      </c>
      <c r="Q158" s="42">
        <f>IF(ISBLANK(R158),"","&lt;b&gt;")</f>
        <v/>
      </c>
      <c r="R158" s="42" t="inlineStr">
        <is>
          <t>Soil &amp; Water Conservation Comm.</t>
        </is>
      </c>
      <c r="S158" s="42">
        <f>IF(ISBLANK(R158),"","&lt;/i&gt;")</f>
        <v/>
      </c>
      <c r="T158" s="43">
        <f>IF(ISBLANK(X158),"",IF(OR(AB158="PASSED",ISBLANK(N158)),"&lt;b&gt;","&lt;i&gt;"))</f>
        <v/>
      </c>
      <c r="U158" s="3">
        <f>IF(ISBLANK(V158),"","&lt;a href='")</f>
        <v/>
      </c>
      <c r="V158" s="39" t="inlineStr">
        <is>
          <t>https://legislature.idaho.gov/sessioninfo/2026/legislation/S1373/</t>
        </is>
      </c>
      <c r="W158" s="17">
        <f>IF(ISBLANK(V158),"","'&gt;")</f>
        <v/>
      </c>
      <c r="X158" s="12" t="inlineStr">
        <is>
          <t>Senate Bill 1373</t>
        </is>
      </c>
      <c r="Y158" s="17">
        <f>IF(ISBLANK(X158),"","&lt;/a&gt;")</f>
        <v/>
      </c>
      <c r="Z158" s="42">
        <f>IF(ISBLANK(X158),"",IF(OR(AB158="PASSED",ISBLANK(N158)),"&lt;/b&gt;","&lt;/i&gt;"))</f>
        <v/>
      </c>
      <c r="AA158" s="43">
        <f>IF(AB158="PASSED","&lt;b&gt;","")</f>
        <v/>
      </c>
      <c r="AB158" s="45" t="inlineStr">
        <is>
          <t>INTRODUCED</t>
        </is>
      </c>
      <c r="AC158" s="43">
        <f>IF(AB158="PASSED","&lt;/b&gt;","")</f>
        <v/>
      </c>
      <c r="AD158" s="43">
        <f>IF(ISBLANK(AE158),"","&lt;b&gt;")</f>
        <v/>
      </c>
      <c r="AE158" s="51" t="inlineStr">
        <is>
          <t>02/13</t>
        </is>
      </c>
      <c r="AF158" s="42">
        <f>IF(ISBLANK(AE158),"",": ")</f>
        <v/>
      </c>
      <c r="AG158" s="42" t="inlineStr">
        <is>
          <t>FY27 reduction (-5%)</t>
        </is>
      </c>
      <c r="AH158" s="42">
        <f>IF(ISBLANK(AE158),"","&lt;/b&gt;")</f>
        <v/>
      </c>
      <c r="AI158" s="42" t="n"/>
      <c r="AJ158" s="42">
        <f>IF(ISBLANK(AI158),"","&lt;br&gt;"&amp;AI158)</f>
        <v/>
      </c>
      <c r="AK158" s="4" t="inlineStr">
        <is>
          <t>&lt;br&gt;</t>
        </is>
      </c>
      <c r="AL158" s="42" t="inlineStr">
        <is>
          <t>&lt;b&gt;&lt;i&gt;</t>
        </is>
      </c>
      <c r="AM158" s="42" t="inlineStr">
        <is>
          <t>Governor's 3% + JFAC's 2%</t>
        </is>
      </c>
      <c r="AN158" s="42">
        <f>IF(ISBLANK(AM158),"","&lt;/i&gt;")</f>
        <v/>
      </c>
      <c r="AO158" s="35">
        <f>IF(ISBLANK(AQ158),"","&lt;/b&gt;&lt;br&gt;&lt;br&gt;")</f>
        <v/>
      </c>
      <c r="AP158" s="42">
        <f>IF(ISBLANK(AQ158),"","&lt;b&gt;")</f>
        <v/>
      </c>
      <c r="AQ158" s="47" t="inlineStr">
        <is>
          <t xml:space="preserve">Agency Reduction Plan:&lt;br&gt;Additional </t>
        </is>
      </c>
      <c r="AR158" s="42" t="n">
        <v>2</v>
      </c>
      <c r="AS158" s="4">
        <f>IF(ISBLANK(AR158),""," %")</f>
        <v/>
      </c>
      <c r="AT158" s="4">
        <f t="array" ref="AT158">_xlfn.IFS(NOT(ISBLANK(AU158))," (pgs. ",NOT(ISBLANK(AS158))," (pg. ", ISBLANK(AS158), "")</f>
        <v/>
      </c>
      <c r="AU158" s="52" t="n">
        <v>146</v>
      </c>
      <c r="AV158" s="4">
        <f>IF(ISBLANK(AW158),"",", ")</f>
        <v/>
      </c>
      <c r="AW158" s="42" t="n"/>
      <c r="AX158" s="4">
        <f>IF(ISBLANK(AY158),"",",&lt;br&gt;")</f>
        <v/>
      </c>
      <c r="AY158" s="42" t="n"/>
      <c r="AZ158" s="49">
        <f>IF(ISBLANK(AU158),"",")&lt;/b&gt;")</f>
        <v/>
      </c>
      <c r="BA158" s="4">
        <f>IF(ISBLANK(BC158),"","&lt;br&gt;")</f>
        <v/>
      </c>
      <c r="BB158" s="42">
        <f t="array" ref="BB158">IF(ISBLANK(BC158),"",_xlfn.LET(
_xlpm.words,_xlfn.TEXTSPLIT(TRIM(BC158),"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58" s="50" t="inlineStr">
        <is>
          <t>SWCC and IDWR have been working to create a plan to merge the two agencies. If the plan moves forward, the proposal includes a reduction of one FTP and the savings that will be gained by reducing redundancy in administration and fiscal services. The total projected reduction is expected to be about $100,000 annually. The agency used $47,900 of this savings as part of the Governor's 3% Holdback so the remaining amount is $52,100. SWCC proposes removing the capital outlay appropriation that is received to replace equipment on an as needed basis. The impact of this reduction will be a delay in replacing equipment that has reached the end of life and may not longer work.</t>
        </is>
      </c>
    </row>
    <row r="159">
      <c r="A159" s="20">
        <f>_xlfn.TEXTJOIN("", TRUE, F159:H159)</f>
        <v/>
      </c>
      <c r="B159" s="21">
        <f>_xlfn.TEXTJOIN("", TRUE, I159:S159)</f>
        <v/>
      </c>
      <c r="C159" s="21">
        <f>IF(ISBLANK(X159),"", _xlfn.TEXTJOIN("",TRUE,T159:Z159))</f>
        <v/>
      </c>
      <c r="D159" s="21">
        <f>IF(ISBLANK(AB159), "", _xlfn.TEXTJOIN("", TRUE, AA159:AC159))</f>
        <v/>
      </c>
      <c r="E159" s="22">
        <f>IF(AU159="NA", _xlfn.TEXTJOIN("", TRUE, AD159:AH159), _xlfn.TEXTJOIN("", TRUE, AD159:AJ159))</f>
        <v/>
      </c>
      <c r="F159" s="42">
        <f>IF(LEFT(G159,4)="FY26","&lt;b&gt;","&lt;i&gt;")</f>
        <v/>
      </c>
      <c r="G159" s="42" t="inlineStr">
        <is>
          <t>FY27 Maintenance</t>
        </is>
      </c>
      <c r="H159" s="42">
        <f>IF(LEFT(G159,4)="FY26","&lt;/b&gt;","&lt;/i&gt;")</f>
        <v/>
      </c>
      <c r="I159" s="43" t="inlineStr">
        <is>
          <t>&lt;i&gt;</t>
        </is>
      </c>
      <c r="J159" s="44" t="inlineStr">
        <is>
          <t>Economic Development</t>
        </is>
      </c>
      <c r="K159" s="44" t="inlineStr">
        <is>
          <t>&lt;/i&gt;</t>
        </is>
      </c>
      <c r="L159" s="4">
        <f>IF(ISBLANK(N159),"","&lt;br&gt;")</f>
        <v/>
      </c>
      <c r="M159" s="42">
        <f>IF(ISBLANK(R159),"&lt;b&gt;","&lt;i&gt;")</f>
        <v/>
      </c>
      <c r="N159" s="42" t="inlineStr">
        <is>
          <t>Dept. of Commerce</t>
        </is>
      </c>
      <c r="O159" s="42">
        <f>IF(ISBLANK(R159),"&lt;/b&gt;","&lt;/i&gt;")</f>
        <v/>
      </c>
      <c r="P159" s="4">
        <f>IF(ISBLANK(R159),"","&lt;br&gt;")</f>
        <v/>
      </c>
      <c r="Q159" s="42">
        <f>IF(ISBLANK(R159),"","&lt;b&gt;")</f>
        <v/>
      </c>
      <c r="R159" s="42" t="n"/>
      <c r="S159" s="42">
        <f>IF(ISBLANK(R159),"","&lt;/i&gt;")</f>
        <v/>
      </c>
      <c r="T159" s="43">
        <f>IF(ISBLANK(X159),"",IF(OR(AB159="PASSED",ISBLANK(N159)),"&lt;b&gt;","&lt;i&gt;"))</f>
        <v/>
      </c>
      <c r="U159" s="3">
        <f>IF(ISBLANK(V159),"","&lt;a href='")</f>
        <v/>
      </c>
      <c r="V159" s="39" t="inlineStr">
        <is>
          <t>https://legislature.idaho.gov/sessioninfo/2026/legislation/S1373/</t>
        </is>
      </c>
      <c r="W159" s="17">
        <f>IF(ISBLANK(V159),"","'&gt;")</f>
        <v/>
      </c>
      <c r="X159" s="12" t="inlineStr">
        <is>
          <t>Senate Bill 1373</t>
        </is>
      </c>
      <c r="Y159" s="17">
        <f>IF(ISBLANK(X159),"","&lt;/a&gt;")</f>
        <v/>
      </c>
      <c r="Z159" s="42">
        <f>IF(ISBLANK(X159),"",IF(OR(AB159="PASSED",ISBLANK(N159)),"&lt;/b&gt;","&lt;/i&gt;"))</f>
        <v/>
      </c>
      <c r="AA159" s="43">
        <f>IF(AB159="PASSED","&lt;b&gt;","")</f>
        <v/>
      </c>
      <c r="AB159" s="45" t="inlineStr">
        <is>
          <t>INTRODUCED</t>
        </is>
      </c>
      <c r="AC159" s="43">
        <f>IF(AB159="PASSED","&lt;/b&gt;","")</f>
        <v/>
      </c>
      <c r="AD159" s="43">
        <f>IF(ISBLANK(AE159),"","&lt;b&gt;")</f>
        <v/>
      </c>
      <c r="AE159" s="51" t="inlineStr">
        <is>
          <t>02/13</t>
        </is>
      </c>
      <c r="AF159" s="42">
        <f>IF(ISBLANK(AE159),"",": ")</f>
        <v/>
      </c>
      <c r="AG159" s="42" t="inlineStr">
        <is>
          <t>FY27 reduction (-5%)</t>
        </is>
      </c>
      <c r="AH159" s="42">
        <f>IF(ISBLANK(AE159),"","&lt;/b&gt;")</f>
        <v/>
      </c>
      <c r="AI159" s="42" t="n"/>
      <c r="AJ159" s="42">
        <f>IF(ISBLANK(AI159),"","&lt;br&gt;"&amp;AI159)</f>
        <v/>
      </c>
      <c r="AK159" s="4" t="inlineStr">
        <is>
          <t>&lt;br&gt;</t>
        </is>
      </c>
      <c r="AL159" s="42" t="inlineStr">
        <is>
          <t>&lt;b&gt;&lt;i&gt;</t>
        </is>
      </c>
      <c r="AM159" s="42" t="inlineStr">
        <is>
          <t>Governor's 3% + JFAC's 2%</t>
        </is>
      </c>
      <c r="AN159" s="42">
        <f>IF(ISBLANK(AM159),"","&lt;/i&gt;")</f>
        <v/>
      </c>
      <c r="AO159" s="35">
        <f>IF(ISBLANK(AQ159),"","&lt;/b&gt;&lt;br&gt;&lt;br&gt;")</f>
        <v/>
      </c>
      <c r="AP159" s="42">
        <f>IF(ISBLANK(AQ159),"","&lt;b&gt;")</f>
        <v/>
      </c>
      <c r="AQ159" s="47" t="inlineStr">
        <is>
          <t xml:space="preserve">Agency Reduction Plan:&lt;br&gt;Additional </t>
        </is>
      </c>
      <c r="AR159" s="42" t="n">
        <v>2</v>
      </c>
      <c r="AS159" s="4">
        <f>IF(ISBLANK(AR159),""," %")</f>
        <v/>
      </c>
      <c r="AT159" s="4">
        <f t="array" ref="AT159">_xlfn.IFS(NOT(ISBLANK(AU159))," (pgs. ",NOT(ISBLANK(AS159))," (pg. ", ISBLANK(AS159), "")</f>
        <v/>
      </c>
      <c r="AU159" s="52" t="n">
        <v>147</v>
      </c>
      <c r="AV159" s="4">
        <f>IF(ISBLANK(AW159),"",", ")</f>
        <v/>
      </c>
      <c r="AW159" s="42" t="n"/>
      <c r="AX159" s="4">
        <f>IF(ISBLANK(AY159),"",",&lt;br&gt;")</f>
        <v/>
      </c>
      <c r="AY159" s="42" t="n"/>
      <c r="AZ159" s="49">
        <f>IF(ISBLANK(AU159),"",")&lt;/b&gt;")</f>
        <v/>
      </c>
      <c r="BA159" s="4">
        <f>IF(ISBLANK(BC159),"","&lt;br&gt;")</f>
        <v/>
      </c>
      <c r="BB159" s="42">
        <f t="array" ref="BB159">IF(ISBLANK(BC159),"",_xlfn.LET(
_xlpm.words,_xlfn.TEXTSPLIT(TRIM(BC159),"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59" s="50" t="inlineStr">
        <is>
          <t>To address the requested reductions in FY2027, the Department anticipates reducing expenses associated with Idaho’s international trade offices by renegotiating annual contracts. These offices provide essential support to Idaho businesses by assisting with export readiness, navigating complex international markets, facilitating business matchmaking, and promoting Idaho as a destination for investment. Reducing funding in this area will likely result in diminished support across multiple global markets, negatively affecting Idaho companies, particularly small and first-time exporters that depend on these services to compete and grow internationally.</t>
        </is>
      </c>
    </row>
    <row r="160">
      <c r="A160" s="20">
        <f>_xlfn.TEXTJOIN("", TRUE, F160:H160)</f>
        <v/>
      </c>
      <c r="B160" s="21">
        <f>_xlfn.TEXTJOIN("", TRUE, I160:S160)</f>
        <v/>
      </c>
      <c r="C160" s="21">
        <f>IF(ISBLANK(X160),"", _xlfn.TEXTJOIN("",TRUE,T160:Z160))</f>
        <v/>
      </c>
      <c r="D160" s="21">
        <f>IF(ISBLANK(AB160), "", _xlfn.TEXTJOIN("", TRUE, AA160:AC160))</f>
        <v/>
      </c>
      <c r="E160" s="22">
        <f>IF(AU160="NA", _xlfn.TEXTJOIN("", TRUE, AD160:AH160), _xlfn.TEXTJOIN("", TRUE, AD160:AJ160))</f>
        <v/>
      </c>
      <c r="F160" s="42">
        <f>IF(LEFT(G160,4)="FY26","&lt;b&gt;","&lt;i&gt;")</f>
        <v/>
      </c>
      <c r="G160" s="42" t="inlineStr">
        <is>
          <t>FY27 Maintenance</t>
        </is>
      </c>
      <c r="H160" s="42">
        <f>IF(LEFT(G160,4)="FY26","&lt;/b&gt;","&lt;/i&gt;")</f>
        <v/>
      </c>
      <c r="I160" s="43" t="inlineStr">
        <is>
          <t>&lt;i&gt;</t>
        </is>
      </c>
      <c r="J160" s="44" t="inlineStr">
        <is>
          <t>Economic Development</t>
        </is>
      </c>
      <c r="K160" s="44" t="inlineStr">
        <is>
          <t>&lt;/i&gt;</t>
        </is>
      </c>
      <c r="L160" s="4">
        <f>IF(ISBLANK(N160),"","&lt;br&gt;")</f>
        <v/>
      </c>
      <c r="M160" s="42">
        <f>IF(ISBLANK(R160),"&lt;b&gt;","&lt;i&gt;")</f>
        <v/>
      </c>
      <c r="N160" s="42" t="inlineStr">
        <is>
          <t>Dept. of Finance</t>
        </is>
      </c>
      <c r="O160" s="42">
        <f>IF(ISBLANK(R160),"&lt;/b&gt;","&lt;/i&gt;")</f>
        <v/>
      </c>
      <c r="P160" s="4">
        <f>IF(ISBLANK(R160),"","&lt;br&gt;")</f>
        <v/>
      </c>
      <c r="Q160" s="42">
        <f>IF(ISBLANK(R160),"","&lt;b&gt;")</f>
        <v/>
      </c>
      <c r="R160" s="42" t="n"/>
      <c r="S160" s="42">
        <f>IF(ISBLANK(R160),"","&lt;/i&gt;")</f>
        <v/>
      </c>
      <c r="T160" s="43">
        <f>IF(ISBLANK(X160),"",IF(OR(AB160="PASSED",ISBLANK(N160)),"&lt;b&gt;","&lt;i&gt;"))</f>
        <v/>
      </c>
      <c r="U160" s="3">
        <f>IF(ISBLANK(V160),"","&lt;a href='")</f>
        <v/>
      </c>
      <c r="V160" s="39" t="inlineStr">
        <is>
          <t>https://legislature.idaho.gov/sessioninfo/2026/legislation/S1373/</t>
        </is>
      </c>
      <c r="W160" s="17">
        <f>IF(ISBLANK(V160),"","'&gt;")</f>
        <v/>
      </c>
      <c r="X160" s="12" t="inlineStr">
        <is>
          <t>Senate Bill 1373</t>
        </is>
      </c>
      <c r="Y160" s="17">
        <f>IF(ISBLANK(X160),"","&lt;/a&gt;")</f>
        <v/>
      </c>
      <c r="Z160" s="42">
        <f>IF(ISBLANK(X160),"",IF(OR(AB160="PASSED",ISBLANK(N160)),"&lt;/b&gt;","&lt;/i&gt;"))</f>
        <v/>
      </c>
      <c r="AA160" s="43">
        <f>IF(AB160="PASSED","&lt;b&gt;","")</f>
        <v/>
      </c>
      <c r="AB160" s="45" t="inlineStr">
        <is>
          <t>INTRODUCED</t>
        </is>
      </c>
      <c r="AC160" s="43">
        <f>IF(AB160="PASSED","&lt;/b&gt;","")</f>
        <v/>
      </c>
      <c r="AD160" s="43">
        <f>IF(ISBLANK(AE160),"","&lt;b&gt;")</f>
        <v/>
      </c>
      <c r="AE160" s="51" t="inlineStr">
        <is>
          <t>02/13</t>
        </is>
      </c>
      <c r="AF160" s="42">
        <f>IF(ISBLANK(AE160),"",": ")</f>
        <v/>
      </c>
      <c r="AG160" s="42" t="inlineStr">
        <is>
          <t>FY27 reduction (-5%)</t>
        </is>
      </c>
      <c r="AH160" s="42">
        <f>IF(ISBLANK(AE160),"","&lt;/b&gt;")</f>
        <v/>
      </c>
      <c r="AI160" s="42" t="n"/>
      <c r="AJ160" s="42">
        <f>IF(ISBLANK(AI160),"","&lt;br&gt;"&amp;AI160)</f>
        <v/>
      </c>
      <c r="AK160" s="4" t="inlineStr">
        <is>
          <t>&lt;br&gt;</t>
        </is>
      </c>
      <c r="AL160" s="42" t="inlineStr">
        <is>
          <t>&lt;b&gt;&lt;i&gt;</t>
        </is>
      </c>
      <c r="AM160" s="42" t="inlineStr">
        <is>
          <t>Governor's 3% + JFAC's 2%</t>
        </is>
      </c>
      <c r="AN160" s="42">
        <f>IF(ISBLANK(AM160),"","&lt;/i&gt;")</f>
        <v/>
      </c>
      <c r="AO160" s="4">
        <f>IF(ISBLANK(AQ160),"","&lt;/b&gt;&lt;br&gt;&lt;br&gt;")</f>
        <v/>
      </c>
      <c r="AP160" s="42">
        <f>IF(ISBLANK(AQ160),"","&lt;b&gt;")</f>
        <v/>
      </c>
      <c r="AQ160" s="47" t="inlineStr">
        <is>
          <t xml:space="preserve">Agency Reduction Plan:&lt;br&gt;Additional </t>
        </is>
      </c>
      <c r="AR160" s="42" t="n">
        <v>2</v>
      </c>
      <c r="AS160" s="4">
        <f>IF(ISBLANK(AR160),""," %")</f>
        <v/>
      </c>
      <c r="AT160" s="4">
        <f t="array" ref="AT160">_xlfn.IFS(NOT(ISBLANK(AU160))," (pgs. ",NOT(ISBLANK(AS160))," (pg. ", ISBLANK(AS160), "")</f>
        <v/>
      </c>
      <c r="AU160" s="52" t="inlineStr">
        <is>
          <t>NA</t>
        </is>
      </c>
      <c r="AV160" s="4">
        <f>IF(ISBLANK(AW160),"",", ")</f>
        <v/>
      </c>
      <c r="AW160" s="42" t="n"/>
      <c r="AX160" s="4">
        <f>IF(ISBLANK(AY160),"",",&lt;br&gt;")</f>
        <v/>
      </c>
      <c r="AY160" s="42" t="n"/>
      <c r="AZ160" s="49">
        <f>IF(ISBLANK(AU160),"",")&lt;/b&gt;")</f>
        <v/>
      </c>
      <c r="BA160" s="4">
        <f>IF(ISBLANK(BC160),"","&lt;br&gt;")</f>
        <v/>
      </c>
      <c r="BB160" s="42">
        <f t="array" ref="BB160">IF(ISBLANK(BC160),"",_xlfn.LET(
_xlpm.words,_xlfn.TEXTSPLIT(TRIM(BC160),"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60" s="50" t="n"/>
    </row>
    <row r="161">
      <c r="A161" s="20">
        <f>_xlfn.TEXTJOIN("", TRUE, F161:H161)</f>
        <v/>
      </c>
      <c r="B161" s="21">
        <f>_xlfn.TEXTJOIN("", TRUE, I161:S161)</f>
        <v/>
      </c>
      <c r="C161" s="21">
        <f>IF(ISBLANK(X161),"", _xlfn.TEXTJOIN("",TRUE,T161:Z161))</f>
        <v/>
      </c>
      <c r="D161" s="21">
        <f>IF(ISBLANK(AB161), "", _xlfn.TEXTJOIN("", TRUE, AA161:AC161))</f>
        <v/>
      </c>
      <c r="E161" s="22">
        <f>IF(AU161="NA", _xlfn.TEXTJOIN("", TRUE, AD161:AH161), _xlfn.TEXTJOIN("", TRUE, AD161:AJ161))</f>
        <v/>
      </c>
      <c r="F161" s="42">
        <f>IF(LEFT(G161,4)="FY26","&lt;b&gt;","&lt;i&gt;")</f>
        <v/>
      </c>
      <c r="G161" s="42" t="inlineStr">
        <is>
          <t>FY27 Maintenance</t>
        </is>
      </c>
      <c r="H161" s="42">
        <f>IF(LEFT(G161,4)="FY26","&lt;/b&gt;","&lt;/i&gt;")</f>
        <v/>
      </c>
      <c r="I161" s="43" t="inlineStr">
        <is>
          <t>&lt;i&gt;</t>
        </is>
      </c>
      <c r="J161" s="44" t="inlineStr">
        <is>
          <t>Economic Development</t>
        </is>
      </c>
      <c r="K161" s="44" t="inlineStr">
        <is>
          <t>&lt;/i&gt;</t>
        </is>
      </c>
      <c r="L161" s="4">
        <f>IF(ISBLANK(N161),"","&lt;br&gt;")</f>
        <v/>
      </c>
      <c r="M161" s="42">
        <f>IF(ISBLANK(R161),"&lt;b&gt;","&lt;i&gt;")</f>
        <v/>
      </c>
      <c r="N161" s="42" t="inlineStr">
        <is>
          <t>Dept. of Insurance</t>
        </is>
      </c>
      <c r="O161" s="42">
        <f>IF(ISBLANK(R161),"&lt;/b&gt;","&lt;/i&gt;")</f>
        <v/>
      </c>
      <c r="P161" s="4">
        <f>IF(ISBLANK(R161),"","&lt;br&gt;")</f>
        <v/>
      </c>
      <c r="Q161" s="42">
        <f>IF(ISBLANK(R161),"","&lt;b&gt;")</f>
        <v/>
      </c>
      <c r="R161" s="42" t="n"/>
      <c r="S161" s="42">
        <f>IF(ISBLANK(R161),"","&lt;/i&gt;")</f>
        <v/>
      </c>
      <c r="T161" s="43">
        <f>IF(ISBLANK(X161),"",IF(OR(AB161="PASSED",ISBLANK(N161)),"&lt;b&gt;","&lt;i&gt;"))</f>
        <v/>
      </c>
      <c r="U161" s="3">
        <f>IF(ISBLANK(V161),"","&lt;a href='")</f>
        <v/>
      </c>
      <c r="V161" s="39" t="inlineStr">
        <is>
          <t>https://legislature.idaho.gov/sessioninfo/2026/legislation/S1373/</t>
        </is>
      </c>
      <c r="W161" s="17">
        <f>IF(ISBLANK(V161),"","'&gt;")</f>
        <v/>
      </c>
      <c r="X161" s="12" t="inlineStr">
        <is>
          <t>Senate Bill 1373</t>
        </is>
      </c>
      <c r="Y161" s="17">
        <f>IF(ISBLANK(X161),"","&lt;/a&gt;")</f>
        <v/>
      </c>
      <c r="Z161" s="42">
        <f>IF(ISBLANK(X161),"",IF(OR(AB161="PASSED",ISBLANK(N161)),"&lt;/b&gt;","&lt;/i&gt;"))</f>
        <v/>
      </c>
      <c r="AA161" s="43">
        <f>IF(AB161="PASSED","&lt;b&gt;","")</f>
        <v/>
      </c>
      <c r="AB161" s="45" t="inlineStr">
        <is>
          <t>INTRODUCED</t>
        </is>
      </c>
      <c r="AC161" s="43">
        <f>IF(AB161="PASSED","&lt;/b&gt;","")</f>
        <v/>
      </c>
      <c r="AD161" s="43">
        <f>IF(ISBLANK(AE161),"","&lt;b&gt;")</f>
        <v/>
      </c>
      <c r="AE161" s="51" t="inlineStr">
        <is>
          <t>02/13</t>
        </is>
      </c>
      <c r="AF161" s="42">
        <f>IF(ISBLANK(AE161),"",": ")</f>
        <v/>
      </c>
      <c r="AG161" s="42" t="inlineStr">
        <is>
          <t>FY27 reduction (-5%)</t>
        </is>
      </c>
      <c r="AH161" s="42">
        <f>IF(ISBLANK(AE161),"","&lt;/b&gt;")</f>
        <v/>
      </c>
      <c r="AI161" s="42" t="n"/>
      <c r="AJ161" s="42">
        <f>IF(ISBLANK(AI161),"","&lt;br&gt;"&amp;AI161)</f>
        <v/>
      </c>
      <c r="AK161" s="4" t="inlineStr">
        <is>
          <t>&lt;br&gt;</t>
        </is>
      </c>
      <c r="AL161" s="42" t="inlineStr">
        <is>
          <t>&lt;b&gt;&lt;i&gt;</t>
        </is>
      </c>
      <c r="AM161" s="42" t="inlineStr">
        <is>
          <t>Governor's 3% + JFAC's 2%</t>
        </is>
      </c>
      <c r="AN161" s="42">
        <f>IF(ISBLANK(AM161),"","&lt;/i&gt;")</f>
        <v/>
      </c>
      <c r="AO161" s="4">
        <f>IF(ISBLANK(AQ161),"","&lt;/b&gt;&lt;br&gt;&lt;br&gt;")</f>
        <v/>
      </c>
      <c r="AP161" s="42">
        <f>IF(ISBLANK(AQ161),"","&lt;b&gt;")</f>
        <v/>
      </c>
      <c r="AQ161" s="47" t="inlineStr">
        <is>
          <t xml:space="preserve">Agency Reduction Plan:&lt;br&gt;Additional </t>
        </is>
      </c>
      <c r="AR161" s="42" t="n">
        <v>2</v>
      </c>
      <c r="AS161" s="4">
        <f>IF(ISBLANK(AR161),""," %")</f>
        <v/>
      </c>
      <c r="AT161" s="4">
        <f t="array" ref="AT161">_xlfn.IFS(NOT(ISBLANK(AU161))," (pgs. ",NOT(ISBLANK(AS161))," (pg. ", ISBLANK(AS161), "")</f>
        <v/>
      </c>
      <c r="AU161" s="52" t="inlineStr">
        <is>
          <t>NA</t>
        </is>
      </c>
      <c r="AV161" s="4">
        <f>IF(ISBLANK(AW161),"",", ")</f>
        <v/>
      </c>
      <c r="AW161" s="42" t="n"/>
      <c r="AX161" s="4">
        <f>IF(ISBLANK(AY161),"",",&lt;br&gt;")</f>
        <v/>
      </c>
      <c r="AY161" s="42" t="n"/>
      <c r="AZ161" s="49">
        <f>IF(ISBLANK(AU161),"",")&lt;/b&gt;")</f>
        <v/>
      </c>
      <c r="BA161" s="4">
        <f>IF(ISBLANK(BC161),"","&lt;br&gt;")</f>
        <v/>
      </c>
      <c r="BB161" s="42">
        <f t="array" ref="BB161">IF(ISBLANK(BC161),"",_xlfn.LET(
_xlpm.words,_xlfn.TEXTSPLIT(TRIM(BC161),"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61" s="50" t="n"/>
    </row>
    <row r="162">
      <c r="A162" s="20">
        <f>_xlfn.TEXTJOIN("", TRUE, F162:H162)</f>
        <v/>
      </c>
      <c r="B162" s="21">
        <f>_xlfn.TEXTJOIN("", TRUE, I162:S162)</f>
        <v/>
      </c>
      <c r="C162" s="21">
        <f>IF(ISBLANK(X162),"", _xlfn.TEXTJOIN("",TRUE,T162:Z162))</f>
        <v/>
      </c>
      <c r="D162" s="21">
        <f>IF(ISBLANK(AB162), "", _xlfn.TEXTJOIN("", TRUE, AA162:AC162))</f>
        <v/>
      </c>
      <c r="E162" s="22">
        <f>IF(AU162="NA", _xlfn.TEXTJOIN("", TRUE, AD162:AH162), _xlfn.TEXTJOIN("", TRUE, AD162:AJ162))</f>
        <v/>
      </c>
      <c r="F162" s="42">
        <f>IF(LEFT(G162,4)="FY26","&lt;b&gt;","&lt;i&gt;")</f>
        <v/>
      </c>
      <c r="G162" s="42" t="inlineStr">
        <is>
          <t>FY27 Maintenance</t>
        </is>
      </c>
      <c r="H162" s="42">
        <f>IF(LEFT(G162,4)="FY26","&lt;/b&gt;","&lt;/i&gt;")</f>
        <v/>
      </c>
      <c r="I162" s="43" t="inlineStr">
        <is>
          <t>&lt;i&gt;</t>
        </is>
      </c>
      <c r="J162" s="44" t="inlineStr">
        <is>
          <t>Economic Development</t>
        </is>
      </c>
      <c r="K162" s="44" t="inlineStr">
        <is>
          <t>&lt;/i&gt;</t>
        </is>
      </c>
      <c r="L162" s="4">
        <f>IF(ISBLANK(N162),"","&lt;br&gt;")</f>
        <v/>
      </c>
      <c r="M162" s="42">
        <f>IF(ISBLANK(R162),"&lt;b&gt;","&lt;i&gt;")</f>
        <v/>
      </c>
      <c r="N162" s="42" t="inlineStr">
        <is>
          <t>Dept. of Labor</t>
        </is>
      </c>
      <c r="O162" s="42">
        <f>IF(ISBLANK(R162),"&lt;/b&gt;","&lt;/i&gt;")</f>
        <v/>
      </c>
      <c r="P162" s="4">
        <f>IF(ISBLANK(R162),"","&lt;br&gt;")</f>
        <v/>
      </c>
      <c r="Q162" s="42">
        <f>IF(ISBLANK(R162),"","&lt;b&gt;")</f>
        <v/>
      </c>
      <c r="R162" s="42" t="n"/>
      <c r="S162" s="42">
        <f>IF(ISBLANK(R162),"","&lt;/i&gt;")</f>
        <v/>
      </c>
      <c r="T162" s="43">
        <f>IF(ISBLANK(X162),"",IF(OR(AB162="PASSED",ISBLANK(N162)),"&lt;b&gt;","&lt;i&gt;"))</f>
        <v/>
      </c>
      <c r="U162" s="3">
        <f>IF(ISBLANK(V162),"","&lt;a href='")</f>
        <v/>
      </c>
      <c r="V162" s="39" t="inlineStr">
        <is>
          <t>https://legislature.idaho.gov/sessioninfo/2026/legislation/S1373/</t>
        </is>
      </c>
      <c r="W162" s="17">
        <f>IF(ISBLANK(V162),"","'&gt;")</f>
        <v/>
      </c>
      <c r="X162" s="12" t="inlineStr">
        <is>
          <t>Senate Bill 1373</t>
        </is>
      </c>
      <c r="Y162" s="17">
        <f>IF(ISBLANK(X162),"","&lt;/a&gt;")</f>
        <v/>
      </c>
      <c r="Z162" s="42">
        <f>IF(ISBLANK(X162),"",IF(OR(AB162="PASSED",ISBLANK(N162)),"&lt;/b&gt;","&lt;/i&gt;"))</f>
        <v/>
      </c>
      <c r="AA162" s="43">
        <f>IF(AB162="PASSED","&lt;b&gt;","")</f>
        <v/>
      </c>
      <c r="AB162" s="45" t="inlineStr">
        <is>
          <t>INTRODUCED</t>
        </is>
      </c>
      <c r="AC162" s="43">
        <f>IF(AB162="PASSED","&lt;/b&gt;","")</f>
        <v/>
      </c>
      <c r="AD162" s="43">
        <f>IF(ISBLANK(AE162),"","&lt;b&gt;")</f>
        <v/>
      </c>
      <c r="AE162" s="51" t="inlineStr">
        <is>
          <t>02/13</t>
        </is>
      </c>
      <c r="AF162" s="42">
        <f>IF(ISBLANK(AE162),"",": ")</f>
        <v/>
      </c>
      <c r="AG162" s="42" t="inlineStr">
        <is>
          <t>FY27 reduction (-5%)</t>
        </is>
      </c>
      <c r="AH162" s="42">
        <f>IF(ISBLANK(AE162),"","&lt;/b&gt;")</f>
        <v/>
      </c>
      <c r="AI162" s="42" t="n"/>
      <c r="AJ162" s="42">
        <f>IF(ISBLANK(AI162),"","&lt;br&gt;"&amp;AI162)</f>
        <v/>
      </c>
      <c r="AK162" s="4" t="inlineStr">
        <is>
          <t>&lt;br&gt;</t>
        </is>
      </c>
      <c r="AL162" s="42" t="inlineStr">
        <is>
          <t>&lt;b&gt;&lt;i&gt;</t>
        </is>
      </c>
      <c r="AM162" s="42" t="inlineStr">
        <is>
          <t>Governor's 3% + JFAC's 2%</t>
        </is>
      </c>
      <c r="AN162" s="42">
        <f>IF(ISBLANK(AM162),"","&lt;/i&gt;")</f>
        <v/>
      </c>
      <c r="AO162" s="4">
        <f>IF(ISBLANK(AQ162),"","&lt;/b&gt;&lt;br&gt;&lt;br&gt;")</f>
        <v/>
      </c>
      <c r="AP162" s="42">
        <f>IF(ISBLANK(AQ162),"","&lt;b&gt;")</f>
        <v/>
      </c>
      <c r="AQ162" s="47" t="inlineStr">
        <is>
          <t xml:space="preserve">Agency Reduction Plan:&lt;br&gt;Additional </t>
        </is>
      </c>
      <c r="AR162" s="42" t="n">
        <v>2</v>
      </c>
      <c r="AS162" s="4">
        <f>IF(ISBLANK(AR162),""," %")</f>
        <v/>
      </c>
      <c r="AT162" s="4">
        <f t="array" ref="AT162">_xlfn.IFS(NOT(ISBLANK(AU162))," (pgs. ",NOT(ISBLANK(AS162))," (pg. ", ISBLANK(AS162), "")</f>
        <v/>
      </c>
      <c r="AU162" s="52" t="n">
        <v>153</v>
      </c>
      <c r="AV162" s="4">
        <f>IF(ISBLANK(AW162),"",", ")</f>
        <v/>
      </c>
      <c r="AW162" s="42" t="n"/>
      <c r="AX162" s="4">
        <f>IF(ISBLANK(AY162),"",",&lt;br&gt;")</f>
        <v/>
      </c>
      <c r="AY162" s="42" t="n"/>
      <c r="AZ162" s="49">
        <f>IF(ISBLANK(AU162),"",")&lt;/b&gt;")</f>
        <v/>
      </c>
      <c r="BA162" s="4">
        <f>IF(ISBLANK(BC162),"","&lt;br&gt;")</f>
        <v/>
      </c>
      <c r="BB162" s="42">
        <f t="array" ref="BB162">IF(ISBLANK(BC162),"",_xlfn.LET(
_xlpm.words,_xlfn.TEXTSPLIT(TRIM(BC162),"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62" s="50" t="inlineStr">
        <is>
          <t>Further general fund budget cuts will not have an immediate impact on this program or service provision for other Department of Labor programs. Because we are switching funding sources from General Fund to dedicated funds, there is no additional impact because of the shortened implementation time frame. Currently, the department has sufficient dedicated fund spending authority and fund balances to absorb an additional 1% reduction in state fiscal year 2026. However, long term the department's finite dedicated fund spending authority and drains on the fund balance over time may limit service provision and require decisions regarding program delivery for the programs that rely on dedicated funds to operate (including the Wage and Hour program).</t>
        </is>
      </c>
    </row>
    <row r="163">
      <c r="A163" s="20">
        <f>_xlfn.TEXTJOIN("", TRUE, F163:H163)</f>
        <v/>
      </c>
      <c r="B163" s="21">
        <f>_xlfn.TEXTJOIN("", TRUE, I163:S163)</f>
        <v/>
      </c>
      <c r="C163" s="21">
        <f>IF(ISBLANK(X163),"", _xlfn.TEXTJOIN("",TRUE,T163:Z163))</f>
        <v/>
      </c>
      <c r="D163" s="21">
        <f>IF(ISBLANK(AB163), "", _xlfn.TEXTJOIN("", TRUE, AA163:AC163))</f>
        <v/>
      </c>
      <c r="E163" s="22">
        <f>IF(AU163="NA", _xlfn.TEXTJOIN("", TRUE, AD163:AH163), _xlfn.TEXTJOIN("", TRUE, AD163:AJ163))</f>
        <v/>
      </c>
      <c r="F163" s="42">
        <f>IF(LEFT(G163,4)="FY26","&lt;b&gt;","&lt;i&gt;")</f>
        <v/>
      </c>
      <c r="G163" s="42" t="inlineStr">
        <is>
          <t>FY27 Maintenance</t>
        </is>
      </c>
      <c r="H163" s="42">
        <f>IF(LEFT(G163,4)="FY26","&lt;/b&gt;","&lt;/i&gt;")</f>
        <v/>
      </c>
      <c r="I163" s="43" t="inlineStr">
        <is>
          <t>&lt;i&gt;</t>
        </is>
      </c>
      <c r="J163" s="44" t="inlineStr">
        <is>
          <t>Economic Development</t>
        </is>
      </c>
      <c r="K163" s="44" t="inlineStr">
        <is>
          <t>&lt;/i&gt;</t>
        </is>
      </c>
      <c r="L163" s="4">
        <f>IF(ISBLANK(N163),"","&lt;br&gt;")</f>
        <v/>
      </c>
      <c r="M163" s="42">
        <f>IF(ISBLANK(R163),"&lt;b&gt;","&lt;i&gt;")</f>
        <v/>
      </c>
      <c r="N163" s="42" t="inlineStr">
        <is>
          <t>Dept. of Self-Governing Agencies</t>
        </is>
      </c>
      <c r="O163" s="42">
        <f>IF(ISBLANK(R163),"&lt;/b&gt;","&lt;/i&gt;")</f>
        <v/>
      </c>
      <c r="P163" s="4">
        <f>IF(ISBLANK(R163),"","&lt;br&gt;")</f>
        <v/>
      </c>
      <c r="Q163" s="42">
        <f>IF(ISBLANK(R163),"","&lt;b&gt;")</f>
        <v/>
      </c>
      <c r="R163" s="42" t="inlineStr">
        <is>
          <t>Comm. for Libraries</t>
        </is>
      </c>
      <c r="S163" s="42">
        <f>IF(ISBLANK(R163),"","&lt;/i&gt;")</f>
        <v/>
      </c>
      <c r="T163" s="43">
        <f>IF(ISBLANK(X163),"",IF(OR(AB163="PASSED",ISBLANK(N163)),"&lt;b&gt;","&lt;i&gt;"))</f>
        <v/>
      </c>
      <c r="U163" s="3">
        <f>IF(ISBLANK(V163),"","&lt;a href='")</f>
        <v/>
      </c>
      <c r="V163" s="39" t="inlineStr">
        <is>
          <t>https://legislature.idaho.gov/sessioninfo/2026/legislation/S1373/</t>
        </is>
      </c>
      <c r="W163" s="17">
        <f>IF(ISBLANK(V163),"","'&gt;")</f>
        <v/>
      </c>
      <c r="X163" s="12" t="inlineStr">
        <is>
          <t>Senate Bill 1373</t>
        </is>
      </c>
      <c r="Y163" s="17">
        <f>IF(ISBLANK(X163),"","&lt;/a&gt;")</f>
        <v/>
      </c>
      <c r="Z163" s="42">
        <f>IF(ISBLANK(X163),"",IF(OR(AB163="PASSED",ISBLANK(N163)),"&lt;/b&gt;","&lt;/i&gt;"))</f>
        <v/>
      </c>
      <c r="AA163" s="43">
        <f>IF(AB163="PASSED","&lt;b&gt;","")</f>
        <v/>
      </c>
      <c r="AB163" s="45" t="inlineStr">
        <is>
          <t>INTRODUCED</t>
        </is>
      </c>
      <c r="AC163" s="43">
        <f>IF(AB163="PASSED","&lt;/b&gt;","")</f>
        <v/>
      </c>
      <c r="AD163" s="43">
        <f>IF(ISBLANK(AE163),"","&lt;b&gt;")</f>
        <v/>
      </c>
      <c r="AE163" s="51" t="inlineStr">
        <is>
          <t>02/13</t>
        </is>
      </c>
      <c r="AF163" s="42">
        <f>IF(ISBLANK(AE163),"",": ")</f>
        <v/>
      </c>
      <c r="AG163" s="42" t="inlineStr">
        <is>
          <t>FY27 reduction (-5%)</t>
        </is>
      </c>
      <c r="AH163" s="42">
        <f>IF(ISBLANK(AE163),"","&lt;/b&gt;")</f>
        <v/>
      </c>
      <c r="AI163" s="42" t="n"/>
      <c r="AJ163" s="42">
        <f>IF(ISBLANK(AI163),"","&lt;br&gt;"&amp;AI163)</f>
        <v/>
      </c>
      <c r="AK163" s="4" t="inlineStr">
        <is>
          <t>&lt;br&gt;</t>
        </is>
      </c>
      <c r="AL163" s="42" t="inlineStr">
        <is>
          <t>&lt;b&gt;&lt;i&gt;</t>
        </is>
      </c>
      <c r="AM163" s="42" t="inlineStr">
        <is>
          <t>Governor's 3% + JFAC's 2%</t>
        </is>
      </c>
      <c r="AN163" s="42">
        <f>IF(ISBLANK(AM163),"","&lt;/i&gt;")</f>
        <v/>
      </c>
      <c r="AO163" s="4">
        <f>IF(ISBLANK(AQ163),"","&lt;/b&gt;&lt;br&gt;&lt;br&gt;")</f>
        <v/>
      </c>
      <c r="AP163" s="42">
        <f>IF(ISBLANK(AQ163),"","&lt;b&gt;")</f>
        <v/>
      </c>
      <c r="AQ163" s="47" t="inlineStr">
        <is>
          <t xml:space="preserve">Agency Reduction Plan:&lt;br&gt;Additional </t>
        </is>
      </c>
      <c r="AR163" s="42" t="n">
        <v>2</v>
      </c>
      <c r="AS163" s="4">
        <f>IF(ISBLANK(AR163),""," %")</f>
        <v/>
      </c>
      <c r="AT163" s="4">
        <f t="array" ref="AT163">_xlfn.IFS(NOT(ISBLANK(AU163))," (pgs. ",NOT(ISBLANK(AS163))," (pg. ", ISBLANK(AS163), "")</f>
        <v/>
      </c>
      <c r="AU163" s="52" t="n">
        <v>162</v>
      </c>
      <c r="AV163" s="4">
        <f>IF(ISBLANK(AW163),"",", ")</f>
        <v/>
      </c>
      <c r="AW163" s="42" t="n"/>
      <c r="AX163" s="4">
        <f>IF(ISBLANK(AY163),"",",&lt;br&gt;")</f>
        <v/>
      </c>
      <c r="AY163" s="42" t="n"/>
      <c r="AZ163" s="49">
        <f>IF(ISBLANK(AU163),"",")&lt;/b&gt;")</f>
        <v/>
      </c>
      <c r="BA163" s="4">
        <f>IF(ISBLANK(BC163),"","&lt;br&gt;")</f>
        <v/>
      </c>
      <c r="BB163" s="42">
        <f t="array" ref="BB163">IF(ISBLANK(BC163),"",_xlfn.LET(
_xlpm.words,_xlfn.TEXTSPLIT(TRIM(BC163),"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63" s="50" t="inlineStr">
        <is>
          <t>For FY2027, the reduction of $49,400 or $99,400 would be achieved by eliminating 1-2 Libraries Linking Idaho (LiLI) database contract(s), resulting in an estimated savings of $50,000 - $100,000. This action would directly impact Idahoans by reducing access to statewide online research and information resources used by students, job seekers, educators, and the general public. The specific contract selected for elimination would be based on usage data, cost per use, and contract terms to identify the most cost-effective option while minimizing service impacts.</t>
        </is>
      </c>
    </row>
    <row r="164">
      <c r="A164" s="20">
        <f>_xlfn.TEXTJOIN("", TRUE, F164:H164)</f>
        <v/>
      </c>
      <c r="B164" s="21">
        <f>_xlfn.TEXTJOIN("", TRUE, I164:S164)</f>
        <v/>
      </c>
      <c r="C164" s="21">
        <f>IF(ISBLANK(X164),"", _xlfn.TEXTJOIN("",TRUE,T164:Z164))</f>
        <v/>
      </c>
      <c r="D164" s="21">
        <f>IF(ISBLANK(AB164), "", _xlfn.TEXTJOIN("", TRUE, AA164:AC164))</f>
        <v/>
      </c>
      <c r="E164" s="22">
        <f>IF(AU164="NA", _xlfn.TEXTJOIN("", TRUE, AD164:AH164), _xlfn.TEXTJOIN("", TRUE, AD164:AJ164))</f>
        <v/>
      </c>
      <c r="F164" s="42">
        <f>IF(LEFT(G164,4)="FY26","&lt;b&gt;","&lt;i&gt;")</f>
        <v/>
      </c>
      <c r="G164" s="42" t="inlineStr">
        <is>
          <t>FY27 Maintenance</t>
        </is>
      </c>
      <c r="H164" s="42">
        <f>IF(LEFT(G164,4)="FY26","&lt;/b&gt;","&lt;/i&gt;")</f>
        <v/>
      </c>
      <c r="I164" s="43" t="inlineStr">
        <is>
          <t>&lt;i&gt;</t>
        </is>
      </c>
      <c r="J164" s="44" t="inlineStr">
        <is>
          <t>Economic Development</t>
        </is>
      </c>
      <c r="K164" s="44" t="inlineStr">
        <is>
          <t>&lt;/i&gt;</t>
        </is>
      </c>
      <c r="L164" s="4">
        <f>IF(ISBLANK(N164),"","&lt;br&gt;")</f>
        <v/>
      </c>
      <c r="M164" s="42">
        <f>IF(ISBLANK(R164),"&lt;b&gt;","&lt;i&gt;")</f>
        <v/>
      </c>
      <c r="N164" s="42" t="inlineStr">
        <is>
          <t>Dept. of Self-Governing Agencies</t>
        </is>
      </c>
      <c r="O164" s="42">
        <f>IF(ISBLANK(R164),"&lt;/b&gt;","&lt;/i&gt;")</f>
        <v/>
      </c>
      <c r="P164" s="4">
        <f>IF(ISBLANK(R164),"","&lt;br&gt;")</f>
        <v/>
      </c>
      <c r="Q164" s="42">
        <f>IF(ISBLANK(R164),"","&lt;b&gt;")</f>
        <v/>
      </c>
      <c r="R164" s="42" t="inlineStr">
        <is>
          <t>Comm. of Pardons &amp; Parole</t>
        </is>
      </c>
      <c r="S164" s="42">
        <f>IF(ISBLANK(R164),"","&lt;/i&gt;")</f>
        <v/>
      </c>
      <c r="T164" s="43">
        <f>IF(ISBLANK(X164),"",IF(OR(AB164="PASSED",ISBLANK(N164)),"&lt;b&gt;","&lt;i&gt;"))</f>
        <v/>
      </c>
      <c r="U164" s="3">
        <f>IF(ISBLANK(V164),"","&lt;a href='")</f>
        <v/>
      </c>
      <c r="V164" s="39" t="inlineStr">
        <is>
          <t>https://legislature.idaho.gov/sessioninfo/2026/legislation/S1373/</t>
        </is>
      </c>
      <c r="W164" s="17">
        <f>IF(ISBLANK(V164),"","'&gt;")</f>
        <v/>
      </c>
      <c r="X164" s="12" t="inlineStr">
        <is>
          <t>Senate Bill 1373</t>
        </is>
      </c>
      <c r="Y164" s="17">
        <f>IF(ISBLANK(X164),"","&lt;/a&gt;")</f>
        <v/>
      </c>
      <c r="Z164" s="42">
        <f>IF(ISBLANK(X164),"",IF(OR(AB164="PASSED",ISBLANK(N164)),"&lt;/b&gt;","&lt;/i&gt;"))</f>
        <v/>
      </c>
      <c r="AA164" s="43">
        <f>IF(AB164="PASSED","&lt;b&gt;","")</f>
        <v/>
      </c>
      <c r="AB164" s="45" t="inlineStr">
        <is>
          <t>INTRODUCED</t>
        </is>
      </c>
      <c r="AC164" s="43">
        <f>IF(AB164="PASSED","&lt;/b&gt;","")</f>
        <v/>
      </c>
      <c r="AD164" s="43">
        <f>IF(ISBLANK(AE164),"","&lt;b&gt;")</f>
        <v/>
      </c>
      <c r="AE164" s="51" t="inlineStr">
        <is>
          <t>02/13</t>
        </is>
      </c>
      <c r="AF164" s="42">
        <f>IF(ISBLANK(AE164),"",": ")</f>
        <v/>
      </c>
      <c r="AG164" s="42" t="inlineStr">
        <is>
          <t>FY27 reduction (-5%)</t>
        </is>
      </c>
      <c r="AH164" s="42">
        <f>IF(ISBLANK(AE164),"","&lt;/b&gt;")</f>
        <v/>
      </c>
      <c r="AI164" s="42" t="n"/>
      <c r="AJ164" s="42">
        <f>IF(ISBLANK(AI164),"","&lt;br&gt;"&amp;AI164)</f>
        <v/>
      </c>
      <c r="AK164" s="4" t="inlineStr">
        <is>
          <t>&lt;br&gt;</t>
        </is>
      </c>
      <c r="AL164" s="42" t="inlineStr">
        <is>
          <t>&lt;b&gt;&lt;i&gt;</t>
        </is>
      </c>
      <c r="AM164" s="42" t="inlineStr">
        <is>
          <t>Governor's 3% + JFAC's 2%</t>
        </is>
      </c>
      <c r="AN164" s="42">
        <f>IF(ISBLANK(AM164),"","&lt;/i&gt;")</f>
        <v/>
      </c>
      <c r="AO164" s="35">
        <f>IF(ISBLANK(AQ164),"","&lt;/b&gt;&lt;br&gt;&lt;br&gt;")</f>
        <v/>
      </c>
      <c r="AP164" s="42">
        <f>IF(ISBLANK(AQ164),"","&lt;b&gt;")</f>
        <v/>
      </c>
      <c r="AQ164" s="47" t="inlineStr">
        <is>
          <t xml:space="preserve">Agency Reduction Plan:&lt;br&gt;Additional </t>
        </is>
      </c>
      <c r="AR164" s="42" t="n">
        <v>2</v>
      </c>
      <c r="AS164" s="4">
        <f>IF(ISBLANK(AR164),""," %")</f>
        <v/>
      </c>
      <c r="AT164" s="4">
        <f t="array" ref="AT164">_xlfn.IFS(NOT(ISBLANK(AU164))," (pgs. ",NOT(ISBLANK(AS164))," (pg. ", ISBLANK(AS164), "")</f>
        <v/>
      </c>
      <c r="AU164" s="52" t="n">
        <v>188</v>
      </c>
      <c r="AV164" s="4">
        <f>IF(ISBLANK(AW164),"",", ")</f>
        <v/>
      </c>
      <c r="AW164" s="42" t="n"/>
      <c r="AX164" s="4">
        <f>IF(ISBLANK(AY164),"",",&lt;br&gt;")</f>
        <v/>
      </c>
      <c r="AY164" s="42" t="n"/>
      <c r="AZ164" s="49">
        <f>IF(ISBLANK(AU164),"",")&lt;/b&gt;")</f>
        <v/>
      </c>
      <c r="BA164" s="4">
        <f>IF(ISBLANK(BC164),"","&lt;br&gt;")</f>
        <v/>
      </c>
      <c r="BB164" s="42">
        <f t="array" ref="BB164">IF(ISBLANK(BC164),"",_xlfn.LET(
_xlpm.words,_xlfn.TEXTSPLIT(TRIM(BC164),"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64" s="50" t="inlineStr">
        <is>
          <t>An additional 2% decrease ($87,100) in COPP’s budget will require the Agency to cut a PHI position. As a result of the position cut, the State will incur roughly $620,500 in incarceration costs. PHI’s process roughly 30 parole reports a month. The Commission’s average grant rate for first-time parole applications is 65.5%. That means without the PHI, roughly 20 people who could have been released to the community will remain incarcerated at a cost of $1,700 a day ($85 x 20). Within a month and a half (46 days), the State will have paid almost as much to incarcerate those individuals as the yearly benefited salary of one PHI position.</t>
        </is>
      </c>
    </row>
    <row r="165">
      <c r="A165" s="20">
        <f>_xlfn.TEXTJOIN("", TRUE, F165:H165)</f>
        <v/>
      </c>
      <c r="B165" s="21">
        <f>_xlfn.TEXTJOIN("", TRUE, I165:S165)</f>
        <v/>
      </c>
      <c r="C165" s="21">
        <f>IF(ISBLANK(X165),"", _xlfn.TEXTJOIN("",TRUE,T165:Z165))</f>
        <v/>
      </c>
      <c r="D165" s="21">
        <f>IF(ISBLANK(AB165), "", _xlfn.TEXTJOIN("", TRUE, AA165:AC165))</f>
        <v/>
      </c>
      <c r="E165" s="22">
        <f>IF(AU165="NA", _xlfn.TEXTJOIN("", TRUE, AD165:AH165), _xlfn.TEXTJOIN("", TRUE, AD165:AJ165))</f>
        <v/>
      </c>
      <c r="F165" s="42">
        <f>IF(LEFT(G165,4)="FY26","&lt;b&gt;","&lt;i&gt;")</f>
        <v/>
      </c>
      <c r="G165" s="42" t="inlineStr">
        <is>
          <t>FY27 Maintenance</t>
        </is>
      </c>
      <c r="H165" s="42">
        <f>IF(LEFT(G165,4)="FY26","&lt;/b&gt;","&lt;/i&gt;")</f>
        <v/>
      </c>
      <c r="I165" s="43" t="inlineStr">
        <is>
          <t>&lt;i&gt;</t>
        </is>
      </c>
      <c r="J165" s="44" t="inlineStr">
        <is>
          <t>Economic Development</t>
        </is>
      </c>
      <c r="K165" s="44" t="inlineStr">
        <is>
          <t>&lt;/i&gt;</t>
        </is>
      </c>
      <c r="L165" s="4">
        <f>IF(ISBLANK(N165),"","&lt;br&gt;")</f>
        <v/>
      </c>
      <c r="M165" s="42">
        <f>IF(ISBLANK(R165),"&lt;b&gt;","&lt;i&gt;")</f>
        <v/>
      </c>
      <c r="N165" s="42" t="inlineStr">
        <is>
          <t>Dept. of Self-Governing Agencies</t>
        </is>
      </c>
      <c r="O165" s="42">
        <f>IF(ISBLANK(R165),"&lt;/b&gt;","&lt;/i&gt;")</f>
        <v/>
      </c>
      <c r="P165" s="4">
        <f>IF(ISBLANK(R165),"","&lt;br&gt;")</f>
        <v/>
      </c>
      <c r="Q165" s="42">
        <f>IF(ISBLANK(R165),"","&lt;b&gt;")</f>
        <v/>
      </c>
      <c r="R165" s="42" t="inlineStr">
        <is>
          <t>Comm. on Hispanic Affairs</t>
        </is>
      </c>
      <c r="S165" s="42">
        <f>IF(ISBLANK(R165),"","&lt;/i&gt;")</f>
        <v/>
      </c>
      <c r="T165" s="43">
        <f>IF(ISBLANK(X165),"",IF(OR(AB165="PASSED",ISBLANK(N165)),"&lt;b&gt;","&lt;i&gt;"))</f>
        <v/>
      </c>
      <c r="U165" s="3">
        <f>IF(ISBLANK(V165),"","&lt;a href='")</f>
        <v/>
      </c>
      <c r="V165" s="39" t="inlineStr">
        <is>
          <t>https://legislature.idaho.gov/sessioninfo/2026/legislation/S1373/</t>
        </is>
      </c>
      <c r="W165" s="17">
        <f>IF(ISBLANK(V165),"","'&gt;")</f>
        <v/>
      </c>
      <c r="X165" s="12" t="inlineStr">
        <is>
          <t>Senate Bill 1373</t>
        </is>
      </c>
      <c r="Y165" s="17">
        <f>IF(ISBLANK(X165),"","&lt;/a&gt;")</f>
        <v/>
      </c>
      <c r="Z165" s="42">
        <f>IF(ISBLANK(X165),"",IF(OR(AB165="PASSED",ISBLANK(N165)),"&lt;/b&gt;","&lt;/i&gt;"))</f>
        <v/>
      </c>
      <c r="AA165" s="43">
        <f>IF(AB165="PASSED","&lt;b&gt;","")</f>
        <v/>
      </c>
      <c r="AB165" s="45" t="inlineStr">
        <is>
          <t>INTRODUCED</t>
        </is>
      </c>
      <c r="AC165" s="43">
        <f>IF(AB165="PASSED","&lt;/b&gt;","")</f>
        <v/>
      </c>
      <c r="AD165" s="43">
        <f>IF(ISBLANK(AE165),"","&lt;b&gt;")</f>
        <v/>
      </c>
      <c r="AE165" s="51" t="inlineStr">
        <is>
          <t>02/13</t>
        </is>
      </c>
      <c r="AF165" s="42">
        <f>IF(ISBLANK(AE165),"",": ")</f>
        <v/>
      </c>
      <c r="AG165" s="42" t="inlineStr">
        <is>
          <t>FY27 reduction (-5%)</t>
        </is>
      </c>
      <c r="AH165" s="42">
        <f>IF(ISBLANK(AE165),"","&lt;/b&gt;")</f>
        <v/>
      </c>
      <c r="AI165" s="42" t="n"/>
      <c r="AJ165" s="42">
        <f>IF(ISBLANK(AI165),"","&lt;br&gt;"&amp;AI165)</f>
        <v/>
      </c>
      <c r="AK165" s="4" t="inlineStr">
        <is>
          <t>&lt;br&gt;</t>
        </is>
      </c>
      <c r="AL165" s="42" t="inlineStr">
        <is>
          <t>&lt;b&gt;&lt;i&gt;</t>
        </is>
      </c>
      <c r="AM165" s="42" t="inlineStr">
        <is>
          <t>Governor's 3% + JFAC's 2%</t>
        </is>
      </c>
      <c r="AN165" s="42">
        <f>IF(ISBLANK(AM165),"","&lt;/i&gt;")</f>
        <v/>
      </c>
      <c r="AO165" s="35">
        <f>IF(ISBLANK(AQ165),"","&lt;/b&gt;&lt;br&gt;&lt;br&gt;")</f>
        <v/>
      </c>
      <c r="AP165" s="42">
        <f>IF(ISBLANK(AQ165),"","&lt;b&gt;")</f>
        <v/>
      </c>
      <c r="AQ165" s="47" t="inlineStr">
        <is>
          <t xml:space="preserve">Agency Reduction Plan:&lt;br&gt;Additional </t>
        </is>
      </c>
      <c r="AR165" s="42" t="n">
        <v>2</v>
      </c>
      <c r="AS165" s="4">
        <f>IF(ISBLANK(AR165),""," %")</f>
        <v/>
      </c>
      <c r="AT165" s="4">
        <f t="array" ref="AT165">_xlfn.IFS(NOT(ISBLANK(AU165))," (pgs. ",NOT(ISBLANK(AS165))," (pg. ", ISBLANK(AS165), "")</f>
        <v/>
      </c>
      <c r="AU165" s="52" t="n">
        <v>156</v>
      </c>
      <c r="AV165" s="4">
        <f>IF(ISBLANK(AW165),"",", ")</f>
        <v/>
      </c>
      <c r="AW165" s="42" t="n"/>
      <c r="AX165" s="4">
        <f>IF(ISBLANK(AY165),"",",&lt;br&gt;")</f>
        <v/>
      </c>
      <c r="AY165" s="42" t="n"/>
      <c r="AZ165" s="49">
        <f>IF(ISBLANK(AU165),"",")&lt;/b&gt;")</f>
        <v/>
      </c>
      <c r="BA165" s="4">
        <f>IF(ISBLANK(BC165),"","&lt;br&gt;")</f>
        <v/>
      </c>
      <c r="BB165" s="42">
        <f t="array" ref="BB165">IF(ISBLANK(BC165),"",_xlfn.LET(
_xlpm.words,_xlfn.TEXTSPLIT(TRIM(BC165),"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65" s="50" t="inlineStr">
        <is>
          <t>The impact of these budget reductions will require a more deliberate and strategic effort to increase the amount of funds raised for our Dedicated Fund.</t>
        </is>
      </c>
    </row>
    <row r="166">
      <c r="A166" s="20">
        <f>_xlfn.TEXTJOIN("", TRUE, F166:H166)</f>
        <v/>
      </c>
      <c r="B166" s="21">
        <f>_xlfn.TEXTJOIN("", TRUE, I166:S166)</f>
        <v/>
      </c>
      <c r="C166" s="21">
        <f>IF(ISBLANK(X166),"", _xlfn.TEXTJOIN("",TRUE,T166:Z166))</f>
        <v/>
      </c>
      <c r="D166" s="21">
        <f>IF(ISBLANK(AB166), "", _xlfn.TEXTJOIN("", TRUE, AA166:AC166))</f>
        <v/>
      </c>
      <c r="E166" s="22">
        <f>IF(AU166="NA", _xlfn.TEXTJOIN("", TRUE, AD166:AH166), _xlfn.TEXTJOIN("", TRUE, AD166:AJ166))</f>
        <v/>
      </c>
      <c r="F166" s="42">
        <f>IF(LEFT(G166,4)="FY26","&lt;b&gt;","&lt;i&gt;")</f>
        <v/>
      </c>
      <c r="G166" s="42" t="inlineStr">
        <is>
          <t>FY27 Maintenance</t>
        </is>
      </c>
      <c r="H166" s="42">
        <f>IF(LEFT(G166,4)="FY26","&lt;/b&gt;","&lt;/i&gt;")</f>
        <v/>
      </c>
      <c r="I166" s="43" t="inlineStr">
        <is>
          <t>&lt;i&gt;</t>
        </is>
      </c>
      <c r="J166" s="44" t="inlineStr">
        <is>
          <t>Economic Development</t>
        </is>
      </c>
      <c r="K166" s="44" t="inlineStr">
        <is>
          <t>&lt;/i&gt;</t>
        </is>
      </c>
      <c r="L166" s="4">
        <f>IF(ISBLANK(N166),"","&lt;br&gt;")</f>
        <v/>
      </c>
      <c r="M166" s="42">
        <f>IF(ISBLANK(R166),"&lt;b&gt;","&lt;i&gt;")</f>
        <v/>
      </c>
      <c r="N166" s="42" t="inlineStr">
        <is>
          <t>Dept. of Self-Governing Agencies</t>
        </is>
      </c>
      <c r="O166" s="42">
        <f>IF(ISBLANK(R166),"&lt;/b&gt;","&lt;/i&gt;")</f>
        <v/>
      </c>
      <c r="P166" s="4">
        <f>IF(ISBLANK(R166),"","&lt;br&gt;")</f>
        <v/>
      </c>
      <c r="Q166" s="42">
        <f>IF(ISBLANK(R166),"","&lt;b&gt;")</f>
        <v/>
      </c>
      <c r="R166" s="42" t="inlineStr">
        <is>
          <t>Div. of Occupational &amp; Professional Licenses</t>
        </is>
      </c>
      <c r="S166" s="42">
        <f>IF(ISBLANK(R166),"","&lt;/i&gt;")</f>
        <v/>
      </c>
      <c r="T166" s="43">
        <f>IF(ISBLANK(X166),"",IF(OR(AB166="PASSED",ISBLANK(N166)),"&lt;b&gt;","&lt;i&gt;"))</f>
        <v/>
      </c>
      <c r="U166" s="3">
        <f>IF(ISBLANK(V166),"","&lt;a href='")</f>
        <v/>
      </c>
      <c r="V166" s="39" t="inlineStr">
        <is>
          <t>https://legislature.idaho.gov/sessioninfo/2026/legislation/S1373/</t>
        </is>
      </c>
      <c r="W166" s="17">
        <f>IF(ISBLANK(V166),"","'&gt;")</f>
        <v/>
      </c>
      <c r="X166" s="12" t="inlineStr">
        <is>
          <t>Senate Bill 1373</t>
        </is>
      </c>
      <c r="Y166" s="17">
        <f>IF(ISBLANK(X166),"","&lt;/a&gt;")</f>
        <v/>
      </c>
      <c r="Z166" s="42">
        <f>IF(ISBLANK(X166),"",IF(OR(AB166="PASSED",ISBLANK(N166)),"&lt;/b&gt;","&lt;/i&gt;"))</f>
        <v/>
      </c>
      <c r="AA166" s="43">
        <f>IF(AB166="PASSED","&lt;b&gt;","")</f>
        <v/>
      </c>
      <c r="AB166" s="45" t="inlineStr">
        <is>
          <t>INTRODUCED</t>
        </is>
      </c>
      <c r="AC166" s="43">
        <f>IF(AB166="PASSED","&lt;/b&gt;","")</f>
        <v/>
      </c>
      <c r="AD166" s="43">
        <f>IF(ISBLANK(AE166),"","&lt;b&gt;")</f>
        <v/>
      </c>
      <c r="AE166" s="51" t="inlineStr">
        <is>
          <t>02/13</t>
        </is>
      </c>
      <c r="AF166" s="42">
        <f>IF(ISBLANK(AE166),"",": ")</f>
        <v/>
      </c>
      <c r="AG166" s="42" t="inlineStr">
        <is>
          <t>FY27 reduction (-5%)</t>
        </is>
      </c>
      <c r="AH166" s="42">
        <f>IF(ISBLANK(AE166),"","&lt;/b&gt;")</f>
        <v/>
      </c>
      <c r="AI166" s="42" t="n"/>
      <c r="AJ166" s="42">
        <f>IF(ISBLANK(AI166),"","&lt;br&gt;"&amp;AI166)</f>
        <v/>
      </c>
      <c r="AK166" s="4" t="inlineStr">
        <is>
          <t>&lt;br&gt;</t>
        </is>
      </c>
      <c r="AL166" s="42" t="inlineStr">
        <is>
          <t>&lt;b&gt;&lt;i&gt;</t>
        </is>
      </c>
      <c r="AM166" s="42" t="inlineStr">
        <is>
          <t>Governor's 3% + JFAC's 2%</t>
        </is>
      </c>
      <c r="AN166" s="42">
        <f>IF(ISBLANK(AM166),"","&lt;/i&gt;")</f>
        <v/>
      </c>
      <c r="AO166" s="35">
        <f>IF(ISBLANK(AQ166),"","&lt;/b&gt;&lt;br&gt;&lt;br&gt;")</f>
        <v/>
      </c>
      <c r="AP166" s="42">
        <f>IF(ISBLANK(AQ166),"","&lt;b&gt;")</f>
        <v/>
      </c>
      <c r="AQ166" s="47" t="inlineStr">
        <is>
          <t xml:space="preserve">Agency Reduction Plan:&lt;br&gt;Additional </t>
        </is>
      </c>
      <c r="AR166" s="42" t="n">
        <v>2</v>
      </c>
      <c r="AS166" s="4">
        <f>IF(ISBLANK(AR166),""," %")</f>
        <v/>
      </c>
      <c r="AT166" s="4">
        <f t="array" ref="AT166">_xlfn.IFS(NOT(ISBLANK(AU166))," (pgs. ",NOT(ISBLANK(AS166))," (pg. ", ISBLANK(AS166), "")</f>
        <v/>
      </c>
      <c r="AU166" s="52" t="inlineStr">
        <is>
          <t>NA</t>
        </is>
      </c>
      <c r="AV166" s="4">
        <f>IF(ISBLANK(AW166),"",", ")</f>
        <v/>
      </c>
      <c r="AW166" s="42" t="n"/>
      <c r="AX166" s="4">
        <f>IF(ISBLANK(AY166),"",",&lt;br&gt;")</f>
        <v/>
      </c>
      <c r="AY166" s="42" t="n"/>
      <c r="AZ166" s="49">
        <f>IF(ISBLANK(AU166),"",")&lt;/b&gt;")</f>
        <v/>
      </c>
      <c r="BA166" s="4">
        <f>IF(ISBLANK(BC166),"","&lt;br&gt;")</f>
        <v/>
      </c>
      <c r="BB166" s="42">
        <f t="array" ref="BB166">IF(ISBLANK(BC166),"",_xlfn.LET(
_xlpm.words,_xlfn.TEXTSPLIT(TRIM(BC166),"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66" s="50" t="n"/>
    </row>
    <row r="167">
      <c r="A167" s="20">
        <f>_xlfn.TEXTJOIN("", TRUE, F167:H167)</f>
        <v/>
      </c>
      <c r="B167" s="21">
        <f>_xlfn.TEXTJOIN("", TRUE, I167:S167)</f>
        <v/>
      </c>
      <c r="C167" s="21">
        <f>IF(ISBLANK(X167),"", _xlfn.TEXTJOIN("",TRUE,T167:Z167))</f>
        <v/>
      </c>
      <c r="D167" s="21">
        <f>IF(ISBLANK(AB167), "", _xlfn.TEXTJOIN("", TRUE, AA167:AC167))</f>
        <v/>
      </c>
      <c r="E167" s="22">
        <f>IF(AU167="NA", _xlfn.TEXTJOIN("", TRUE, AD167:AH167), _xlfn.TEXTJOIN("", TRUE, AD167:AJ167))</f>
        <v/>
      </c>
      <c r="F167" s="42">
        <f>IF(LEFT(G167,4)="FY26","&lt;b&gt;","&lt;i&gt;")</f>
        <v/>
      </c>
      <c r="G167" s="42" t="inlineStr">
        <is>
          <t>FY27 Maintenance</t>
        </is>
      </c>
      <c r="H167" s="42">
        <f>IF(LEFT(G167,4)="FY26","&lt;/b&gt;","&lt;/i&gt;")</f>
        <v/>
      </c>
      <c r="I167" s="43" t="inlineStr">
        <is>
          <t>&lt;i&gt;</t>
        </is>
      </c>
      <c r="J167" s="44" t="inlineStr">
        <is>
          <t>Economic Development</t>
        </is>
      </c>
      <c r="K167" s="44" t="inlineStr">
        <is>
          <t>&lt;/i&gt;</t>
        </is>
      </c>
      <c r="L167" s="4">
        <f>IF(ISBLANK(N167),"","&lt;br&gt;")</f>
        <v/>
      </c>
      <c r="M167" s="42">
        <f>IF(ISBLANK(R167),"&lt;b&gt;","&lt;i&gt;")</f>
        <v/>
      </c>
      <c r="N167" s="42" t="inlineStr">
        <is>
          <t>Dept. of Self-Governing Agencies</t>
        </is>
      </c>
      <c r="O167" s="42">
        <f>IF(ISBLANK(R167),"&lt;/b&gt;","&lt;/i&gt;")</f>
        <v/>
      </c>
      <c r="P167" s="4">
        <f>IF(ISBLANK(R167),"","&lt;br&gt;")</f>
        <v/>
      </c>
      <c r="Q167" s="42">
        <f>IF(ISBLANK(R167),"","&lt;b&gt;")</f>
        <v/>
      </c>
      <c r="R167" s="42" t="inlineStr">
        <is>
          <t>Div. of Veterans Services</t>
        </is>
      </c>
      <c r="S167" s="42">
        <f>IF(ISBLANK(R167),"","&lt;/i&gt;")</f>
        <v/>
      </c>
      <c r="T167" s="43">
        <f>IF(ISBLANK(X167),"",IF(OR(AB167="PASSED",ISBLANK(N167)),"&lt;b&gt;","&lt;i&gt;"))</f>
        <v/>
      </c>
      <c r="U167" s="3">
        <f>IF(ISBLANK(V167),"","&lt;a href='")</f>
        <v/>
      </c>
      <c r="V167" s="39" t="inlineStr">
        <is>
          <t>https://legislature.idaho.gov/sessioninfo/2026/legislation/S1373/</t>
        </is>
      </c>
      <c r="W167" s="17">
        <f>IF(ISBLANK(V167),"","'&gt;")</f>
        <v/>
      </c>
      <c r="X167" s="12" t="inlineStr">
        <is>
          <t>Senate Bill 1373</t>
        </is>
      </c>
      <c r="Y167" s="17">
        <f>IF(ISBLANK(X167),"","&lt;/a&gt;")</f>
        <v/>
      </c>
      <c r="Z167" s="42">
        <f>IF(ISBLANK(X167),"",IF(OR(AB167="PASSED",ISBLANK(N167)),"&lt;/b&gt;","&lt;/i&gt;"))</f>
        <v/>
      </c>
      <c r="AA167" s="43">
        <f>IF(AB167="PASSED","&lt;b&gt;","")</f>
        <v/>
      </c>
      <c r="AB167" s="45" t="inlineStr">
        <is>
          <t>INTRODUCED</t>
        </is>
      </c>
      <c r="AC167" s="43">
        <f>IF(AB167="PASSED","&lt;/b&gt;","")</f>
        <v/>
      </c>
      <c r="AD167" s="43">
        <f>IF(ISBLANK(AE167),"","&lt;b&gt;")</f>
        <v/>
      </c>
      <c r="AE167" s="51" t="inlineStr">
        <is>
          <t>02/13</t>
        </is>
      </c>
      <c r="AF167" s="42">
        <f>IF(ISBLANK(AE167),"",": ")</f>
        <v/>
      </c>
      <c r="AG167" s="42" t="inlineStr">
        <is>
          <t>FY27 reduction (-5%)</t>
        </is>
      </c>
      <c r="AH167" s="42">
        <f>IF(ISBLANK(AE167),"","&lt;/b&gt;")</f>
        <v/>
      </c>
      <c r="AI167" s="42" t="n"/>
      <c r="AJ167" s="42">
        <f>IF(ISBLANK(AI167),"","&lt;br&gt;"&amp;AI167)</f>
        <v/>
      </c>
      <c r="AK167" s="4" t="inlineStr">
        <is>
          <t>&lt;br&gt;</t>
        </is>
      </c>
      <c r="AL167" s="42" t="inlineStr">
        <is>
          <t>&lt;b&gt;&lt;i&gt;</t>
        </is>
      </c>
      <c r="AM167" s="42" t="inlineStr">
        <is>
          <t>Governor's 3% + JFAC's 2%</t>
        </is>
      </c>
      <c r="AN167" s="42">
        <f>IF(ISBLANK(AM167),"","&lt;/i&gt;")</f>
        <v/>
      </c>
      <c r="AO167" s="35">
        <f>IF(ISBLANK(AQ167),"","&lt;/b&gt;&lt;br&gt;&lt;br&gt;")</f>
        <v/>
      </c>
      <c r="AP167" s="42">
        <f>IF(ISBLANK(AQ167),"","&lt;b&gt;")</f>
        <v/>
      </c>
      <c r="AQ167" s="47" t="inlineStr">
        <is>
          <t xml:space="preserve">Agency Reduction Plan:&lt;br&gt;Additional </t>
        </is>
      </c>
      <c r="AR167" s="42" t="n">
        <v>2</v>
      </c>
      <c r="AS167" s="4">
        <f>IF(ISBLANK(AR167),""," %")</f>
        <v/>
      </c>
      <c r="AT167" s="4">
        <f t="array" ref="AT167">_xlfn.IFS(NOT(ISBLANK(AU167))," (pgs. ",NOT(ISBLANK(AS167))," (pg. ", ISBLANK(AS167), "")</f>
        <v/>
      </c>
      <c r="AU167" s="52" t="n">
        <v>168</v>
      </c>
      <c r="AV167" s="4">
        <f>IF(ISBLANK(AW167),"",", ")</f>
        <v/>
      </c>
      <c r="AW167" s="42" t="n"/>
      <c r="AX167" s="4">
        <f>IF(ISBLANK(AY167),"",",&lt;br&gt;")</f>
        <v/>
      </c>
      <c r="AY167" s="42" t="n"/>
      <c r="AZ167" s="49">
        <f>IF(ISBLANK(AU167),"",")&lt;/b&gt;")</f>
        <v/>
      </c>
      <c r="BA167" s="4">
        <f>IF(ISBLANK(BC167),"","&lt;br&gt;")</f>
        <v/>
      </c>
      <c r="BB167" s="42">
        <f t="array" ref="BB167">IF(ISBLANK(BC167),"",_xlfn.LET(
_xlpm.words,_xlfn.TEXTSPLIT(TRIM(BC167),"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67" s="50" t="inlineStr">
        <is>
          <t>FY 26 Salary savings from vacant Cemetery Boise caretaker... position was filled on 1/5/26 and is necessary going forward due to the increase of interments at the Veterans Cemetery in Boise. This reduction will not have a negative impact on the Veterans Cemetery Boise FY 2026 operation unless funding is removed on an permanent basis.</t>
        </is>
      </c>
    </row>
    <row r="168">
      <c r="A168" s="20">
        <f>_xlfn.TEXTJOIN("", TRUE, F168:H168)</f>
        <v/>
      </c>
      <c r="B168" s="21">
        <f>_xlfn.TEXTJOIN("", TRUE, I168:S168)</f>
        <v/>
      </c>
      <c r="C168" s="21">
        <f>IF(ISBLANK(X168),"", _xlfn.TEXTJOIN("",TRUE,T168:Z168))</f>
        <v/>
      </c>
      <c r="D168" s="21">
        <f>IF(ISBLANK(AB168), "", _xlfn.TEXTJOIN("", TRUE, AA168:AC168))</f>
        <v/>
      </c>
      <c r="E168" s="22">
        <f>IF(AU168="NA", _xlfn.TEXTJOIN("", TRUE, AD168:AH168), _xlfn.TEXTJOIN("", TRUE, AD168:AJ168))</f>
        <v/>
      </c>
      <c r="F168" s="42">
        <f>IF(LEFT(G168,4)="FY26","&lt;b&gt;","&lt;i&gt;")</f>
        <v/>
      </c>
      <c r="G168" s="42" t="inlineStr">
        <is>
          <t>FY27 Maintenance</t>
        </is>
      </c>
      <c r="H168" s="42">
        <f>IF(LEFT(G168,4)="FY26","&lt;/b&gt;","&lt;/i&gt;")</f>
        <v/>
      </c>
      <c r="I168" s="43" t="inlineStr">
        <is>
          <t>&lt;i&gt;</t>
        </is>
      </c>
      <c r="J168" s="44" t="inlineStr">
        <is>
          <t>Economic Development</t>
        </is>
      </c>
      <c r="K168" s="44" t="inlineStr">
        <is>
          <t>&lt;/i&gt;</t>
        </is>
      </c>
      <c r="L168" s="4">
        <f>IF(ISBLANK(N168),"","&lt;br&gt;")</f>
        <v/>
      </c>
      <c r="M168" s="42">
        <f>IF(ISBLANK(R168),"&lt;b&gt;","&lt;i&gt;")</f>
        <v/>
      </c>
      <c r="N168" s="42" t="inlineStr">
        <is>
          <t>Dept. of Self-Governing Agencies</t>
        </is>
      </c>
      <c r="O168" s="42">
        <f>IF(ISBLANK(R168),"&lt;/b&gt;","&lt;/i&gt;")</f>
        <v/>
      </c>
      <c r="P168" s="4">
        <f>IF(ISBLANK(R168),"","&lt;br&gt;")</f>
        <v/>
      </c>
      <c r="Q168" s="42">
        <f>IF(ISBLANK(R168),"","&lt;b&gt;")</f>
        <v/>
      </c>
      <c r="R168" s="42" t="inlineStr">
        <is>
          <t>Office of Administrative Hearings</t>
        </is>
      </c>
      <c r="S168" s="42">
        <f>IF(ISBLANK(R168),"","&lt;/i&gt;")</f>
        <v/>
      </c>
      <c r="T168" s="43">
        <f>IF(ISBLANK(X168),"",IF(OR(AB168="PASSED",ISBLANK(N168)),"&lt;b&gt;","&lt;i&gt;"))</f>
        <v/>
      </c>
      <c r="U168" s="3">
        <f>IF(ISBLANK(V168),"","&lt;a href='")</f>
        <v/>
      </c>
      <c r="V168" s="39" t="inlineStr">
        <is>
          <t>https://legislature.idaho.gov/sessioninfo/2026/legislation/S1373/</t>
        </is>
      </c>
      <c r="W168" s="17">
        <f>IF(ISBLANK(V168),"","'&gt;")</f>
        <v/>
      </c>
      <c r="X168" s="12" t="inlineStr">
        <is>
          <t>Senate Bill 1373</t>
        </is>
      </c>
      <c r="Y168" s="17">
        <f>IF(ISBLANK(X168),"","&lt;/a&gt;")</f>
        <v/>
      </c>
      <c r="Z168" s="42">
        <f>IF(ISBLANK(X168),"",IF(OR(AB168="PASSED",ISBLANK(N168)),"&lt;/b&gt;","&lt;/i&gt;"))</f>
        <v/>
      </c>
      <c r="AA168" s="43">
        <f>IF(AB168="PASSED","&lt;b&gt;","")</f>
        <v/>
      </c>
      <c r="AB168" s="45" t="inlineStr">
        <is>
          <t>INTRODUCED</t>
        </is>
      </c>
      <c r="AC168" s="43">
        <f>IF(AB168="PASSED","&lt;/b&gt;","")</f>
        <v/>
      </c>
      <c r="AD168" s="43">
        <f>IF(ISBLANK(AE168),"","&lt;b&gt;")</f>
        <v/>
      </c>
      <c r="AE168" s="51" t="inlineStr">
        <is>
          <t>02/13</t>
        </is>
      </c>
      <c r="AF168" s="42">
        <f>IF(ISBLANK(AE168),"",": ")</f>
        <v/>
      </c>
      <c r="AG168" s="42" t="inlineStr">
        <is>
          <t>FY27 reduction (-5%)</t>
        </is>
      </c>
      <c r="AH168" s="42">
        <f>IF(ISBLANK(AE168),"","&lt;/b&gt;")</f>
        <v/>
      </c>
      <c r="AI168" s="42" t="n"/>
      <c r="AJ168" s="42">
        <f>IF(ISBLANK(AI168),"","&lt;br&gt;"&amp;AI168)</f>
        <v/>
      </c>
      <c r="AK168" s="4" t="inlineStr">
        <is>
          <t>&lt;br&gt;</t>
        </is>
      </c>
      <c r="AL168" s="42" t="inlineStr">
        <is>
          <t>&lt;b&gt;&lt;i&gt;</t>
        </is>
      </c>
      <c r="AM168" s="42" t="inlineStr">
        <is>
          <t>Governor's 3% + JFAC's 2%</t>
        </is>
      </c>
      <c r="AN168" s="42">
        <f>IF(ISBLANK(AM168),"","&lt;/i&gt;")</f>
        <v/>
      </c>
      <c r="AO168" s="35">
        <f>IF(ISBLANK(AQ168),"","&lt;/b&gt;&lt;br&gt;&lt;br&gt;")</f>
        <v/>
      </c>
      <c r="AP168" s="42">
        <f>IF(ISBLANK(AQ168),"","&lt;b&gt;")</f>
        <v/>
      </c>
      <c r="AQ168" s="47" t="inlineStr">
        <is>
          <t xml:space="preserve">Agency Reduction Plan:&lt;br&gt;Additional </t>
        </is>
      </c>
      <c r="AR168" s="42" t="n">
        <v>2</v>
      </c>
      <c r="AS168" s="4">
        <f>IF(ISBLANK(AR168),""," %")</f>
        <v/>
      </c>
      <c r="AT168" s="4">
        <f t="array" ref="AT168">_xlfn.IFS(NOT(ISBLANK(AU168))," (pgs. ",NOT(ISBLANK(AS168))," (pg. ", ISBLANK(AS168), "")</f>
        <v/>
      </c>
      <c r="AU168" s="48" t="n">
        <v>177</v>
      </c>
      <c r="AV168" s="4">
        <f>IF(ISBLANK(AW168),"",", ")</f>
        <v/>
      </c>
      <c r="AW168" s="42" t="n"/>
      <c r="AX168" s="4">
        <f>IF(ISBLANK(AY168),"",",&lt;br&gt;")</f>
        <v/>
      </c>
      <c r="AY168" s="42" t="n"/>
      <c r="AZ168" s="49">
        <f>IF(ISBLANK(AU168),"",")&lt;/b&gt;")</f>
        <v/>
      </c>
      <c r="BA168" s="4">
        <f>IF(ISBLANK(BC168),"","&lt;br&gt;")</f>
        <v/>
      </c>
      <c r="BB168" s="42">
        <f t="array" ref="BB168">IF(ISBLANK(BC168),"",_xlfn.LET(
_xlpm.words,_xlfn.TEXTSPLIT(TRIM(BC168),"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68" s="50" t="inlineStr">
        <is>
          <t>With the prior 3% holdback’s impact on OAH’s operating expense budget, OAH is down to current utilization of just a single independent contract hearing officer, and does not have the current operating expense bandwidth to assign anything but minor matters to that one independent contract hearing officer. A further reduction of 1% or 2% will all but eliminate OAH’s ability to utilize any independent contract hearing officers, creating significant conflict and caseload surge issues as circumstances may potentially arise – potentially impairing ALJs’ ability to timely hear contested cases, as well as delay the timely issuance of a decision.</t>
        </is>
      </c>
    </row>
    <row r="169">
      <c r="A169" s="20">
        <f>_xlfn.TEXTJOIN("", TRUE, F169:H169)</f>
        <v/>
      </c>
      <c r="B169" s="21">
        <f>_xlfn.TEXTJOIN("", TRUE, I169:S169)</f>
        <v/>
      </c>
      <c r="C169" s="21">
        <f>IF(ISBLANK(X169),"", _xlfn.TEXTJOIN("",TRUE,T169:Z169))</f>
        <v/>
      </c>
      <c r="D169" s="21">
        <f>IF(ISBLANK(AB169), "", _xlfn.TEXTJOIN("", TRUE, AA169:AC169))</f>
        <v/>
      </c>
      <c r="E169" s="22">
        <f>IF(AU169="NA", _xlfn.TEXTJOIN("", TRUE, AD169:AH169), _xlfn.TEXTJOIN("", TRUE, AD169:AJ169))</f>
        <v/>
      </c>
      <c r="F169" s="42">
        <f>IF(LEFT(G169,4)="FY26","&lt;b&gt;","&lt;i&gt;")</f>
        <v/>
      </c>
      <c r="G169" s="42" t="inlineStr">
        <is>
          <t>FY27 Maintenance</t>
        </is>
      </c>
      <c r="H169" s="42">
        <f>IF(LEFT(G169,4)="FY26","&lt;/b&gt;","&lt;/i&gt;")</f>
        <v/>
      </c>
      <c r="I169" s="43" t="inlineStr">
        <is>
          <t>&lt;i&gt;</t>
        </is>
      </c>
      <c r="J169" s="44" t="inlineStr">
        <is>
          <t>Economic Development</t>
        </is>
      </c>
      <c r="K169" s="44" t="inlineStr">
        <is>
          <t>&lt;/i&gt;</t>
        </is>
      </c>
      <c r="L169" s="4">
        <f>IF(ISBLANK(N169),"","&lt;br&gt;")</f>
        <v/>
      </c>
      <c r="M169" s="42">
        <f>IF(ISBLANK(R169),"&lt;b&gt;","&lt;i&gt;")</f>
        <v/>
      </c>
      <c r="N169" s="42" t="inlineStr">
        <is>
          <t>Dept. of Self-Governing Agencies</t>
        </is>
      </c>
      <c r="O169" s="42">
        <f>IF(ISBLANK(R169),"&lt;/b&gt;","&lt;/i&gt;")</f>
        <v/>
      </c>
      <c r="P169" s="4">
        <f>IF(ISBLANK(R169),"","&lt;br&gt;")</f>
        <v/>
      </c>
      <c r="Q169" s="42">
        <f>IF(ISBLANK(R169),"","&lt;b&gt;")</f>
        <v/>
      </c>
      <c r="R169" s="42" t="inlineStr">
        <is>
          <t>Office of Health &amp; Social Services Ombudsman</t>
        </is>
      </c>
      <c r="S169" s="42">
        <f>IF(ISBLANK(R169),"","&lt;/i&gt;")</f>
        <v/>
      </c>
      <c r="T169" s="43">
        <f>IF(ISBLANK(X169),"",IF(OR(AB169="PASSED",ISBLANK(N169)),"&lt;b&gt;","&lt;i&gt;"))</f>
        <v/>
      </c>
      <c r="U169" s="3">
        <f>IF(ISBLANK(V169),"","&lt;a href='")</f>
        <v/>
      </c>
      <c r="V169" s="39" t="inlineStr">
        <is>
          <t>https://legislature.idaho.gov/sessioninfo/2026/legislation/S1373/</t>
        </is>
      </c>
      <c r="W169" s="17">
        <f>IF(ISBLANK(V169),"","'&gt;")</f>
        <v/>
      </c>
      <c r="X169" s="12" t="inlineStr">
        <is>
          <t>Senate Bill 1373</t>
        </is>
      </c>
      <c r="Y169" s="17">
        <f>IF(ISBLANK(X169),"","&lt;/a&gt;")</f>
        <v/>
      </c>
      <c r="Z169" s="42">
        <f>IF(ISBLANK(X169),"",IF(OR(AB169="PASSED",ISBLANK(N169)),"&lt;/b&gt;","&lt;/i&gt;"))</f>
        <v/>
      </c>
      <c r="AA169" s="43">
        <f>IF(AB169="PASSED","&lt;b&gt;","")</f>
        <v/>
      </c>
      <c r="AB169" s="45" t="inlineStr">
        <is>
          <t>INTRODUCED</t>
        </is>
      </c>
      <c r="AC169" s="43">
        <f>IF(AB169="PASSED","&lt;/b&gt;","")</f>
        <v/>
      </c>
      <c r="AD169" s="43">
        <f>IF(ISBLANK(AE169),"","&lt;b&gt;")</f>
        <v/>
      </c>
      <c r="AE169" s="51" t="inlineStr">
        <is>
          <t>02/13</t>
        </is>
      </c>
      <c r="AF169" s="42">
        <f>IF(ISBLANK(AE169),"",": ")</f>
        <v/>
      </c>
      <c r="AG169" s="42" t="inlineStr">
        <is>
          <t>FY27 reduction (-5%)</t>
        </is>
      </c>
      <c r="AH169" s="42">
        <f>IF(ISBLANK(AE169),"","&lt;/b&gt;")</f>
        <v/>
      </c>
      <c r="AI169" s="42" t="n"/>
      <c r="AJ169" s="42">
        <f>IF(ISBLANK(AI169),"","&lt;br&gt;"&amp;AI169)</f>
        <v/>
      </c>
      <c r="AK169" s="4" t="inlineStr">
        <is>
          <t>&lt;br&gt;</t>
        </is>
      </c>
      <c r="AL169" s="42" t="inlineStr">
        <is>
          <t>&lt;b&gt;&lt;i&gt;</t>
        </is>
      </c>
      <c r="AM169" s="42" t="inlineStr">
        <is>
          <t>Governor's 3% + JFAC's 2%</t>
        </is>
      </c>
      <c r="AN169" s="42">
        <f>IF(ISBLANK(AM169),"","&lt;/i&gt;")</f>
        <v/>
      </c>
      <c r="AO169" s="35">
        <f>IF(ISBLANK(AQ169),"","&lt;/b&gt;&lt;br&gt;&lt;br&gt;")</f>
        <v/>
      </c>
      <c r="AP169" s="42">
        <f>IF(ISBLANK(AQ169),"","&lt;b&gt;")</f>
        <v/>
      </c>
      <c r="AQ169" s="47" t="inlineStr">
        <is>
          <t xml:space="preserve">Agency Reduction Plan:&lt;br&gt;Additional </t>
        </is>
      </c>
      <c r="AR169" s="42" t="n">
        <v>2</v>
      </c>
      <c r="AS169" s="4">
        <f>IF(ISBLANK(AR169),""," %")</f>
        <v/>
      </c>
      <c r="AT169" s="4">
        <f t="array" ref="AT169">_xlfn.IFS(NOT(ISBLANK(AU169))," (pgs. ",NOT(ISBLANK(AS169))," (pg. ", ISBLANK(AS169), "")</f>
        <v/>
      </c>
      <c r="AU169" s="48" t="n">
        <v>183</v>
      </c>
      <c r="AV169" s="4">
        <f>IF(ISBLANK(AW169),"",", ")</f>
        <v/>
      </c>
      <c r="AW169" s="42" t="n"/>
      <c r="AX169" s="4">
        <f>IF(ISBLANK(AY169),"",",&lt;br&gt;")</f>
        <v/>
      </c>
      <c r="AY169" s="42" t="n"/>
      <c r="AZ169" s="49">
        <f>IF(ISBLANK(AU169),"",")&lt;/b&gt;")</f>
        <v/>
      </c>
      <c r="BA169" s="4">
        <f>IF(ISBLANK(BC169),"","&lt;br&gt;")</f>
        <v/>
      </c>
      <c r="BB169" s="42">
        <f t="array" ref="BB169">IF(ISBLANK(BC169),"",_xlfn.LET(
_xlpm.words,_xlfn.TEXTSPLIT(TRIM(BC169),"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69" s="50" t="inlineStr">
        <is>
          <t>The reduction of the operating budget will have to come out of funds that otherwise could be used to visit facilities in person and speak with staff and with youth who have filed complaints. It is important to meet face to face with the youth versus digitally because it is hard to ascertain the environment and sometimes the youth are hesitant to visit over technology. In addition, sometimes, the technology to do a virtual visit is not available to youth. Community education can be done virtually in many instances but doing education at conferences/summits/stakeholder meetings that don't offer this option will be difficult.</t>
        </is>
      </c>
    </row>
    <row r="170">
      <c r="A170" s="20">
        <f>_xlfn.TEXTJOIN("", TRUE, F170:H170)</f>
        <v/>
      </c>
      <c r="B170" s="21">
        <f>_xlfn.TEXTJOIN("", TRUE, I170:S170)</f>
        <v/>
      </c>
      <c r="C170" s="21">
        <f>IF(ISBLANK(X170),"", _xlfn.TEXTJOIN("",TRUE,T170:Z170))</f>
        <v/>
      </c>
      <c r="D170" s="21">
        <f>IF(ISBLANK(AB170), "", _xlfn.TEXTJOIN("", TRUE, AA170:AC170))</f>
        <v/>
      </c>
      <c r="E170" s="22">
        <f>IF(AU170="NA", _xlfn.TEXTJOIN("", TRUE, AD170:AH170), _xlfn.TEXTJOIN("", TRUE, AD170:AJ170))</f>
        <v/>
      </c>
      <c r="F170" s="42">
        <f>IF(LEFT(G170,4)="FY26","&lt;b&gt;","&lt;i&gt;")</f>
        <v/>
      </c>
      <c r="G170" s="42" t="inlineStr">
        <is>
          <t>FY27 Maintenance</t>
        </is>
      </c>
      <c r="H170" s="42">
        <f>IF(LEFT(G170,4)="FY26","&lt;/b&gt;","&lt;/i&gt;")</f>
        <v/>
      </c>
      <c r="I170" s="43" t="inlineStr">
        <is>
          <t>&lt;i&gt;</t>
        </is>
      </c>
      <c r="J170" s="44" t="inlineStr">
        <is>
          <t>Economic Development</t>
        </is>
      </c>
      <c r="K170" s="44" t="inlineStr">
        <is>
          <t>&lt;/i&gt;</t>
        </is>
      </c>
      <c r="L170" s="4">
        <f>IF(ISBLANK(N170),"","&lt;br&gt;")</f>
        <v/>
      </c>
      <c r="M170" s="42">
        <f>IF(ISBLANK(R170),"&lt;b&gt;","&lt;i&gt;")</f>
        <v/>
      </c>
      <c r="N170" s="42" t="inlineStr">
        <is>
          <t>Dept. of Self-Governing Agencies</t>
        </is>
      </c>
      <c r="O170" s="42">
        <f>IF(ISBLANK(R170),"&lt;/b&gt;","&lt;/i&gt;")</f>
        <v/>
      </c>
      <c r="P170" s="4">
        <f>IF(ISBLANK(R170),"","&lt;br&gt;")</f>
        <v/>
      </c>
      <c r="Q170" s="42">
        <f>IF(ISBLANK(R170),"","&lt;b&gt;")</f>
        <v/>
      </c>
      <c r="R170" s="42" t="inlineStr">
        <is>
          <t>Office of the State Public Defender</t>
        </is>
      </c>
      <c r="S170" s="42">
        <f>IF(ISBLANK(R170),"","&lt;/i&gt;")</f>
        <v/>
      </c>
      <c r="T170" s="43">
        <f>IF(ISBLANK(X170),"",IF(OR(AB170="PASSED",ISBLANK(N170)),"&lt;b&gt;","&lt;i&gt;"))</f>
        <v/>
      </c>
      <c r="U170" s="3">
        <f>IF(ISBLANK(V170),"","&lt;a href='")</f>
        <v/>
      </c>
      <c r="V170" s="39" t="inlineStr">
        <is>
          <t>https://legislature.idaho.gov/sessioninfo/2026/legislation/S1373/</t>
        </is>
      </c>
      <c r="W170" s="17">
        <f>IF(ISBLANK(V170),"","'&gt;")</f>
        <v/>
      </c>
      <c r="X170" s="12" t="inlineStr">
        <is>
          <t>Senate Bill 1373</t>
        </is>
      </c>
      <c r="Y170" s="17">
        <f>IF(ISBLANK(X170),"","&lt;/a&gt;")</f>
        <v/>
      </c>
      <c r="Z170" s="42">
        <f>IF(ISBLANK(X170),"",IF(OR(AB170="PASSED",ISBLANK(N170)),"&lt;/b&gt;","&lt;/i&gt;"))</f>
        <v/>
      </c>
      <c r="AA170" s="43">
        <f>IF(AB170="PASSED","&lt;b&gt;","")</f>
        <v/>
      </c>
      <c r="AB170" s="45" t="inlineStr">
        <is>
          <t>INTRODUCED</t>
        </is>
      </c>
      <c r="AC170" s="43">
        <f>IF(AB170="PASSED","&lt;/b&gt;","")</f>
        <v/>
      </c>
      <c r="AD170" s="43">
        <f>IF(ISBLANK(AE170),"","&lt;b&gt;")</f>
        <v/>
      </c>
      <c r="AE170" s="51" t="inlineStr">
        <is>
          <t>02/13</t>
        </is>
      </c>
      <c r="AF170" s="42">
        <f>IF(ISBLANK(AE170),"",": ")</f>
        <v/>
      </c>
      <c r="AG170" s="42" t="inlineStr">
        <is>
          <t>FY27 reduction (-5%)</t>
        </is>
      </c>
      <c r="AH170" s="42">
        <f>IF(ISBLANK(AE170),"","&lt;/b&gt;")</f>
        <v/>
      </c>
      <c r="AI170" s="42" t="n"/>
      <c r="AJ170" s="42">
        <f>IF(ISBLANK(AI170),"","&lt;br&gt;"&amp;AI170)</f>
        <v/>
      </c>
      <c r="AK170" s="4" t="inlineStr">
        <is>
          <t>&lt;br&gt;</t>
        </is>
      </c>
      <c r="AL170" s="42" t="inlineStr">
        <is>
          <t>&lt;b&gt;&lt;i&gt;</t>
        </is>
      </c>
      <c r="AM170" s="42" t="inlineStr">
        <is>
          <t>Governor's 3% + JFAC's 2%</t>
        </is>
      </c>
      <c r="AN170" s="42">
        <f>IF(ISBLANK(AM170),"","&lt;/i&gt;")</f>
        <v/>
      </c>
      <c r="AO170" s="35">
        <f>IF(ISBLANK(AQ170),"","&lt;/b&gt;&lt;br&gt;&lt;br&gt;")</f>
        <v/>
      </c>
      <c r="AP170" s="42">
        <f>IF(ISBLANK(AQ170),"","&lt;b&gt;")</f>
        <v/>
      </c>
      <c r="AQ170" s="47" t="inlineStr">
        <is>
          <t xml:space="preserve">Agency Reduction Plan:&lt;br&gt;Additional </t>
        </is>
      </c>
      <c r="AR170" s="42" t="n">
        <v>2</v>
      </c>
      <c r="AS170" s="4">
        <f>IF(ISBLANK(AR170),""," %")</f>
        <v/>
      </c>
      <c r="AT170" s="4">
        <f t="array" ref="AT170">_xlfn.IFS(NOT(ISBLANK(AU170))," (pgs. ",NOT(ISBLANK(AS170))," (pg. ", ISBLANK(AS170), "")</f>
        <v/>
      </c>
      <c r="AU170" s="48" t="n">
        <v>173</v>
      </c>
      <c r="AV170" s="4">
        <f>IF(ISBLANK(AW170),"",", ")</f>
        <v/>
      </c>
      <c r="AW170" s="42" t="n"/>
      <c r="AX170" s="4">
        <f>IF(ISBLANK(AY170),"",",&lt;br&gt;")</f>
        <v/>
      </c>
      <c r="AY170" s="42" t="n"/>
      <c r="AZ170" s="49">
        <f>IF(ISBLANK(AU170),"",")&lt;/b&gt;")</f>
        <v/>
      </c>
      <c r="BA170" s="4">
        <f>IF(ISBLANK(BC170),"","&lt;br&gt;")</f>
        <v/>
      </c>
      <c r="BB170" s="42">
        <f t="array" ref="BB170">IF(ISBLANK(BC170),"",_xlfn.LET(
_xlpm.words,_xlfn.TEXTSPLIT(TRIM(BC170),"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70" s="50" t="inlineStr">
        <is>
          <t>The proposed 1% and 2% budget reductions would materially impair the SPD’s ability to manage mandatory cost growth, address staffing shortages, and absorb known and unknown future obligations during the first full year of statewide operations and beyond.</t>
        </is>
      </c>
    </row>
    <row r="171">
      <c r="A171" s="20">
        <f>_xlfn.TEXTJOIN("", TRUE, F171:H171)</f>
        <v/>
      </c>
      <c r="B171" s="21">
        <f>_xlfn.TEXTJOIN("", TRUE, I171:S171)</f>
        <v/>
      </c>
      <c r="C171" s="21">
        <f>IF(ISBLANK(X171),"", _xlfn.TEXTJOIN("",TRUE,T171:Z171))</f>
        <v/>
      </c>
      <c r="D171" s="21">
        <f>IF(ISBLANK(AB171), "", _xlfn.TEXTJOIN("", TRUE, AA171:AC171))</f>
        <v/>
      </c>
      <c r="E171" s="22">
        <f>IF(AU171="NA", _xlfn.TEXTJOIN("", TRUE, AD171:AH171), _xlfn.TEXTJOIN("", TRUE, AD171:AJ171))</f>
        <v/>
      </c>
      <c r="F171" s="42">
        <f>IF(LEFT(G171,4)="FY26","&lt;b&gt;","&lt;i&gt;")</f>
        <v/>
      </c>
      <c r="G171" s="42" t="inlineStr">
        <is>
          <t>FY27 Maintenance</t>
        </is>
      </c>
      <c r="H171" s="42">
        <f>IF(LEFT(G171,4)="FY26","&lt;/b&gt;","&lt;/i&gt;")</f>
        <v/>
      </c>
      <c r="I171" s="43" t="inlineStr">
        <is>
          <t>&lt;i&gt;</t>
        </is>
      </c>
      <c r="J171" s="44" t="inlineStr">
        <is>
          <t>Economic Development</t>
        </is>
      </c>
      <c r="K171" s="44" t="inlineStr">
        <is>
          <t>&lt;/i&gt;</t>
        </is>
      </c>
      <c r="L171" s="4">
        <f>IF(ISBLANK(N171),"","&lt;br&gt;")</f>
        <v/>
      </c>
      <c r="M171" s="42">
        <f>IF(ISBLANK(R171),"&lt;b&gt;","&lt;i&gt;")</f>
        <v/>
      </c>
      <c r="N171" s="42" t="inlineStr">
        <is>
          <t>Dept. of Self-Governing Agencies</t>
        </is>
      </c>
      <c r="O171" s="42">
        <f>IF(ISBLANK(R171),"&lt;/b&gt;","&lt;/i&gt;")</f>
        <v/>
      </c>
      <c r="P171" s="4">
        <f>IF(ISBLANK(R171),"","&lt;br&gt;")</f>
        <v/>
      </c>
      <c r="Q171" s="42">
        <f>IF(ISBLANK(R171),"","&lt;b&gt;")</f>
        <v/>
      </c>
      <c r="R171" s="42" t="inlineStr">
        <is>
          <t>Public Defense Comm.</t>
        </is>
      </c>
      <c r="S171" s="42">
        <f>IF(ISBLANK(R171),"","&lt;/i&gt;")</f>
        <v/>
      </c>
      <c r="T171" s="43">
        <f>IF(ISBLANK(X171),"",IF(OR(AB171="PASSED",ISBLANK(N171)),"&lt;b&gt;","&lt;i&gt;"))</f>
        <v/>
      </c>
      <c r="U171" s="3">
        <f>IF(ISBLANK(V171),"","&lt;a href='")</f>
        <v/>
      </c>
      <c r="V171" s="39" t="inlineStr">
        <is>
          <t>https://legislature.idaho.gov/sessioninfo/2026/legislation/S1373/</t>
        </is>
      </c>
      <c r="W171" s="17">
        <f>IF(ISBLANK(V171),"","'&gt;")</f>
        <v/>
      </c>
      <c r="X171" s="12" t="inlineStr">
        <is>
          <t>Senate Bill 1373</t>
        </is>
      </c>
      <c r="Y171" s="17">
        <f>IF(ISBLANK(X171),"","&lt;/a&gt;")</f>
        <v/>
      </c>
      <c r="Z171" s="42">
        <f>IF(ISBLANK(X171),"",IF(OR(AB171="PASSED",ISBLANK(N171)),"&lt;/b&gt;","&lt;/i&gt;"))</f>
        <v/>
      </c>
      <c r="AA171" s="43">
        <f>IF(AB171="PASSED","&lt;b&gt;","")</f>
        <v/>
      </c>
      <c r="AB171" s="45" t="inlineStr">
        <is>
          <t>INTRODUCED</t>
        </is>
      </c>
      <c r="AC171" s="43">
        <f>IF(AB171="PASSED","&lt;/b&gt;","")</f>
        <v/>
      </c>
      <c r="AD171" s="43">
        <f>IF(ISBLANK(AE171),"","&lt;b&gt;")</f>
        <v/>
      </c>
      <c r="AE171" s="51" t="inlineStr">
        <is>
          <t>02/13</t>
        </is>
      </c>
      <c r="AF171" s="42">
        <f>IF(ISBLANK(AE171),"",": ")</f>
        <v/>
      </c>
      <c r="AG171" s="42" t="inlineStr">
        <is>
          <t>FY27 reduction (-5%)</t>
        </is>
      </c>
      <c r="AH171" s="42">
        <f>IF(ISBLANK(AE171),"","&lt;/b&gt;")</f>
        <v/>
      </c>
      <c r="AI171" s="42" t="n"/>
      <c r="AJ171" s="42">
        <f>IF(ISBLANK(AI171),"","&lt;br&gt;"&amp;AI171)</f>
        <v/>
      </c>
      <c r="AK171" s="4" t="inlineStr">
        <is>
          <t>&lt;br&gt;</t>
        </is>
      </c>
      <c r="AL171" s="42" t="inlineStr">
        <is>
          <t>&lt;b&gt;&lt;i&gt;</t>
        </is>
      </c>
      <c r="AM171" s="42" t="inlineStr">
        <is>
          <t>Governor's 3% + JFAC's 2%</t>
        </is>
      </c>
      <c r="AN171" s="42">
        <f>IF(ISBLANK(AM171),"","&lt;/i&gt;")</f>
        <v/>
      </c>
      <c r="AO171" s="35">
        <f>IF(ISBLANK(AQ171),"","&lt;/b&gt;&lt;br&gt;&lt;br&gt;")</f>
        <v/>
      </c>
      <c r="AP171" s="42">
        <f>IF(ISBLANK(AQ171),"","&lt;b&gt;")</f>
        <v/>
      </c>
      <c r="AQ171" s="47" t="inlineStr">
        <is>
          <t xml:space="preserve">Agency Reduction Plan:&lt;br&gt;Additional </t>
        </is>
      </c>
      <c r="AR171" s="42" t="n">
        <v>2</v>
      </c>
      <c r="AS171" s="4">
        <f>IF(ISBLANK(AR171),""," %")</f>
        <v/>
      </c>
      <c r="AT171" s="4">
        <f t="array" ref="AT171">_xlfn.IFS(NOT(ISBLANK(AU171))," (pgs. ",NOT(ISBLANK(AS171))," (pg. ", ISBLANK(AS171), "")</f>
        <v/>
      </c>
      <c r="AU171" s="48" t="inlineStr">
        <is>
          <t>NA</t>
        </is>
      </c>
      <c r="AV171" s="4">
        <f>IF(ISBLANK(AW171),"",", ")</f>
        <v/>
      </c>
      <c r="AW171" s="42" t="n"/>
      <c r="AX171" s="4">
        <f>IF(ISBLANK(AY171),"",",&lt;br&gt;")</f>
        <v/>
      </c>
      <c r="AY171" s="42" t="n"/>
      <c r="AZ171" s="49">
        <f>IF(ISBLANK(AU171),"",")&lt;/b&gt;")</f>
        <v/>
      </c>
      <c r="BA171" s="4">
        <f>IF(ISBLANK(BC171),"","&lt;br&gt;")</f>
        <v/>
      </c>
      <c r="BB171" s="42">
        <f t="array" ref="BB171">IF(ISBLANK(BC171),"",_xlfn.LET(
_xlpm.words,_xlfn.TEXTSPLIT(TRIM(BC171),"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71" s="50" t="n"/>
    </row>
    <row r="172">
      <c r="A172" s="20">
        <f>_xlfn.TEXTJOIN("", TRUE, F172:H172)</f>
        <v/>
      </c>
      <c r="B172" s="21">
        <f>_xlfn.TEXTJOIN("", TRUE, I172:S172)</f>
        <v/>
      </c>
      <c r="C172" s="21">
        <f>IF(ISBLANK(X172),"", _xlfn.TEXTJOIN("",TRUE,T172:Z172))</f>
        <v/>
      </c>
      <c r="D172" s="21">
        <f>IF(ISBLANK(AB172), "", _xlfn.TEXTJOIN("", TRUE, AA172:AC172))</f>
        <v/>
      </c>
      <c r="E172" s="22">
        <f>IF(AU172="NA", _xlfn.TEXTJOIN("", TRUE, AD172:AH172), _xlfn.TEXTJOIN("", TRUE, AD172:AJ172))</f>
        <v/>
      </c>
      <c r="F172" s="42">
        <f>IF(LEFT(G172,4)="FY26","&lt;b&gt;","&lt;i&gt;")</f>
        <v/>
      </c>
      <c r="G172" s="42" t="inlineStr">
        <is>
          <t>FY27 Maintenance</t>
        </is>
      </c>
      <c r="H172" s="42">
        <f>IF(LEFT(G172,4)="FY26","&lt;/b&gt;","&lt;/i&gt;")</f>
        <v/>
      </c>
      <c r="I172" s="43" t="inlineStr">
        <is>
          <t>&lt;i&gt;</t>
        </is>
      </c>
      <c r="J172" s="44" t="inlineStr">
        <is>
          <t>Economic Development</t>
        </is>
      </c>
      <c r="K172" s="44" t="inlineStr">
        <is>
          <t>&lt;/i&gt;</t>
        </is>
      </c>
      <c r="L172" s="4">
        <f>IF(ISBLANK(N172),"","&lt;br&gt;")</f>
        <v/>
      </c>
      <c r="M172" s="42">
        <f>IF(ISBLANK(R172),"&lt;b&gt;","&lt;i&gt;")</f>
        <v/>
      </c>
      <c r="N172" s="42" t="inlineStr">
        <is>
          <t>Dept. of Self-Governing Agencies</t>
        </is>
      </c>
      <c r="O172" s="42">
        <f>IF(ISBLANK(R172),"&lt;/b&gt;","&lt;/i&gt;")</f>
        <v/>
      </c>
      <c r="P172" s="4">
        <f>IF(ISBLANK(R172),"","&lt;br&gt;")</f>
        <v/>
      </c>
      <c r="Q172" s="42">
        <f>IF(ISBLANK(R172),"","&lt;b&gt;")</f>
        <v/>
      </c>
      <c r="R172" s="42" t="inlineStr">
        <is>
          <t>State Appellate Public Defender</t>
        </is>
      </c>
      <c r="S172" s="42">
        <f>IF(ISBLANK(R172),"","&lt;/i&gt;")</f>
        <v/>
      </c>
      <c r="T172" s="43">
        <f>IF(ISBLANK(X172),"",IF(OR(AB172="PASSED",ISBLANK(N172)),"&lt;b&gt;","&lt;i&gt;"))</f>
        <v/>
      </c>
      <c r="U172" s="3">
        <f>IF(ISBLANK(V172),"","&lt;a href='")</f>
        <v/>
      </c>
      <c r="V172" s="39" t="inlineStr">
        <is>
          <t>https://legislature.idaho.gov/sessioninfo/2026/legislation/S1373/</t>
        </is>
      </c>
      <c r="W172" s="17">
        <f>IF(ISBLANK(V172),"","'&gt;")</f>
        <v/>
      </c>
      <c r="X172" s="12" t="inlineStr">
        <is>
          <t>Senate Bill 1373</t>
        </is>
      </c>
      <c r="Y172" s="17">
        <f>IF(ISBLANK(X172),"","&lt;/a&gt;")</f>
        <v/>
      </c>
      <c r="Z172" s="42">
        <f>IF(ISBLANK(X172),"",IF(OR(AB172="PASSED",ISBLANK(N172)),"&lt;/b&gt;","&lt;/i&gt;"))</f>
        <v/>
      </c>
      <c r="AA172" s="43">
        <f>IF(AB172="PASSED","&lt;b&gt;","")</f>
        <v/>
      </c>
      <c r="AB172" s="45" t="inlineStr">
        <is>
          <t>INTRODUCED</t>
        </is>
      </c>
      <c r="AC172" s="43">
        <f>IF(AB172="PASSED","&lt;/b&gt;","")</f>
        <v/>
      </c>
      <c r="AD172" s="43">
        <f>IF(ISBLANK(AE172),"","&lt;b&gt;")</f>
        <v/>
      </c>
      <c r="AE172" s="51" t="inlineStr">
        <is>
          <t>02/13</t>
        </is>
      </c>
      <c r="AF172" s="42">
        <f>IF(ISBLANK(AE172),"",": ")</f>
        <v/>
      </c>
      <c r="AG172" s="42" t="inlineStr">
        <is>
          <t>FY27 reduction (-5%)</t>
        </is>
      </c>
      <c r="AH172" s="42">
        <f>IF(ISBLANK(AE172),"","&lt;/b&gt;")</f>
        <v/>
      </c>
      <c r="AI172" s="42" t="n"/>
      <c r="AJ172" s="42">
        <f>IF(ISBLANK(AI172),"","&lt;br&gt;"&amp;AI172)</f>
        <v/>
      </c>
      <c r="AK172" s="4" t="inlineStr">
        <is>
          <t>&lt;br&gt;</t>
        </is>
      </c>
      <c r="AL172" s="42" t="inlineStr">
        <is>
          <t>&lt;b&gt;&lt;i&gt;</t>
        </is>
      </c>
      <c r="AM172" s="42" t="inlineStr">
        <is>
          <t>Governor's 3% + JFAC's 2%</t>
        </is>
      </c>
      <c r="AN172" s="42">
        <f>IF(ISBLANK(AM172),"","&lt;/i&gt;")</f>
        <v/>
      </c>
      <c r="AO172" s="35">
        <f>IF(ISBLANK(AQ172),"","&lt;/b&gt;&lt;br&gt;&lt;br&gt;")</f>
        <v/>
      </c>
      <c r="AP172" s="42">
        <f>IF(ISBLANK(AQ172),"","&lt;b&gt;")</f>
        <v/>
      </c>
      <c r="AQ172" s="47" t="inlineStr">
        <is>
          <t xml:space="preserve">Agency Reduction Plan:&lt;br&gt;Additional </t>
        </is>
      </c>
      <c r="AR172" s="42" t="n">
        <v>2</v>
      </c>
      <c r="AS172" s="4">
        <f>IF(ISBLANK(AR172),""," %")</f>
        <v/>
      </c>
      <c r="AT172" s="4">
        <f t="array" ref="AT172">_xlfn.IFS(NOT(ISBLANK(AU172))," (pgs. ",NOT(ISBLANK(AS172))," (pg. ", ISBLANK(AS172), "")</f>
        <v/>
      </c>
      <c r="AU172" s="48" t="n">
        <v>166</v>
      </c>
      <c r="AV172" s="4">
        <f>IF(ISBLANK(AW172),"",", ")</f>
        <v/>
      </c>
      <c r="AW172" s="42" t="n"/>
      <c r="AX172" s="4">
        <f>IF(ISBLANK(AY172),"",",&lt;br&gt;")</f>
        <v/>
      </c>
      <c r="AY172" s="42" t="n"/>
      <c r="AZ172" s="49">
        <f>IF(ISBLANK(AU172),"",")&lt;/b&gt;")</f>
        <v/>
      </c>
      <c r="BA172" s="4">
        <f>IF(ISBLANK(BC172),"","&lt;br&gt;")</f>
        <v/>
      </c>
      <c r="BB172" s="42">
        <f t="array" ref="BB172">IF(ISBLANK(BC172),"",_xlfn.LET(
_xlpm.words,_xlfn.TEXTSPLIT(TRIM(BC172),"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72" s="50" t="inlineStr">
        <is>
          <t>FY 2027 is likely to be a more a financially challenging year for the SAPD financially because its conflict case costs are expected to rebound. Assuming those costs increase in FY 2027, the SAPD will be less able to absorb additional budget cuts without furloughing employees. Furloughs, should they be required, would impede the SAPD’s ability to perform its constitutionally required duties.</t>
        </is>
      </c>
    </row>
    <row r="173">
      <c r="A173" s="20">
        <f>_xlfn.TEXTJOIN("", TRUE, F173:H173)</f>
        <v/>
      </c>
      <c r="B173" s="21">
        <f>_xlfn.TEXTJOIN("", TRUE, I173:S173)</f>
        <v/>
      </c>
      <c r="C173" s="21">
        <f>IF(ISBLANK(X173),"", _xlfn.TEXTJOIN("",TRUE,T173:Z173))</f>
        <v/>
      </c>
      <c r="D173" s="21">
        <f>IF(ISBLANK(AB173), "", _xlfn.TEXTJOIN("", TRUE, AA173:AC173))</f>
        <v/>
      </c>
      <c r="E173" s="22">
        <f>IF(AU173="NA", _xlfn.TEXTJOIN("", TRUE, AD173:AH173), _xlfn.TEXTJOIN("", TRUE, AD173:AJ173))</f>
        <v/>
      </c>
      <c r="F173" s="42">
        <f>IF(LEFT(G173,4)="FY26","&lt;b&gt;","&lt;i&gt;")</f>
        <v/>
      </c>
      <c r="G173" s="42" t="inlineStr">
        <is>
          <t>FY27 Maintenance</t>
        </is>
      </c>
      <c r="H173" s="42">
        <f>IF(LEFT(G173,4)="FY26","&lt;/b&gt;","&lt;/i&gt;")</f>
        <v/>
      </c>
      <c r="I173" s="43" t="inlineStr">
        <is>
          <t>&lt;i&gt;</t>
        </is>
      </c>
      <c r="J173" s="44" t="inlineStr">
        <is>
          <t>Economic Development</t>
        </is>
      </c>
      <c r="K173" s="44" t="inlineStr">
        <is>
          <t>&lt;/i&gt;</t>
        </is>
      </c>
      <c r="L173" s="4">
        <f>IF(ISBLANK(N173),"","&lt;br&gt;")</f>
        <v/>
      </c>
      <c r="M173" s="42">
        <f>IF(ISBLANK(R173),"&lt;b&gt;","&lt;i&gt;")</f>
        <v/>
      </c>
      <c r="N173" s="42" t="inlineStr">
        <is>
          <t>Dept. of Self-Governing Agencies</t>
        </is>
      </c>
      <c r="O173" s="42">
        <f>IF(ISBLANK(R173),"&lt;/b&gt;","&lt;/i&gt;")</f>
        <v/>
      </c>
      <c r="P173" s="4">
        <f>IF(ISBLANK(R173),"","&lt;br&gt;")</f>
        <v/>
      </c>
      <c r="Q173" s="42">
        <f>IF(ISBLANK(R173),"","&lt;b&gt;")</f>
        <v/>
      </c>
      <c r="R173" s="42" t="inlineStr">
        <is>
          <t>State Historical Society</t>
        </is>
      </c>
      <c r="S173" s="42">
        <f>IF(ISBLANK(R173),"","&lt;/i&gt;")</f>
        <v/>
      </c>
      <c r="T173" s="43">
        <f>IF(ISBLANK(X173),"",IF(OR(AB173="PASSED",ISBLANK(N173)),"&lt;b&gt;","&lt;i&gt;"))</f>
        <v/>
      </c>
      <c r="U173" s="3">
        <f>IF(ISBLANK(V173),"","&lt;a href='")</f>
        <v/>
      </c>
      <c r="V173" s="39" t="inlineStr">
        <is>
          <t>https://legislature.idaho.gov/sessioninfo/2026/legislation/S1373/</t>
        </is>
      </c>
      <c r="W173" s="17">
        <f>IF(ISBLANK(V173),"","'&gt;")</f>
        <v/>
      </c>
      <c r="X173" s="12" t="inlineStr">
        <is>
          <t>Senate Bill 1373</t>
        </is>
      </c>
      <c r="Y173" s="17">
        <f>IF(ISBLANK(X173),"","&lt;/a&gt;")</f>
        <v/>
      </c>
      <c r="Z173" s="42">
        <f>IF(ISBLANK(X173),"",IF(OR(AB173="PASSED",ISBLANK(N173)),"&lt;/b&gt;","&lt;/i&gt;"))</f>
        <v/>
      </c>
      <c r="AA173" s="43">
        <f>IF(AB173="PASSED","&lt;b&gt;","")</f>
        <v/>
      </c>
      <c r="AB173" s="45" t="inlineStr">
        <is>
          <t>INTRODUCED</t>
        </is>
      </c>
      <c r="AC173" s="43">
        <f>IF(AB173="PASSED","&lt;/b&gt;","")</f>
        <v/>
      </c>
      <c r="AD173" s="43">
        <f>IF(ISBLANK(AE173),"","&lt;b&gt;")</f>
        <v/>
      </c>
      <c r="AE173" s="51" t="inlineStr">
        <is>
          <t>02/13</t>
        </is>
      </c>
      <c r="AF173" s="42">
        <f>IF(ISBLANK(AE173),"",": ")</f>
        <v/>
      </c>
      <c r="AG173" s="42" t="inlineStr">
        <is>
          <t>FY27 reduction (-5%)</t>
        </is>
      </c>
      <c r="AH173" s="42">
        <f>IF(ISBLANK(AE173),"","&lt;/b&gt;")</f>
        <v/>
      </c>
      <c r="AI173" s="42" t="n"/>
      <c r="AJ173" s="42">
        <f>IF(ISBLANK(AI173),"","&lt;br&gt;"&amp;AI173)</f>
        <v/>
      </c>
      <c r="AK173" s="4" t="inlineStr">
        <is>
          <t>&lt;br&gt;</t>
        </is>
      </c>
      <c r="AL173" s="42" t="inlineStr">
        <is>
          <t>&lt;b&gt;&lt;i&gt;</t>
        </is>
      </c>
      <c r="AM173" s="42" t="inlineStr">
        <is>
          <t>Governor's 3% + JFAC's 2%</t>
        </is>
      </c>
      <c r="AN173" s="42">
        <f>IF(ISBLANK(AM173),"","&lt;/i&gt;")</f>
        <v/>
      </c>
      <c r="AO173" s="35">
        <f>IF(ISBLANK(AQ173),"","&lt;/b&gt;&lt;br&gt;&lt;br&gt;")</f>
        <v/>
      </c>
      <c r="AP173" s="42">
        <f>IF(ISBLANK(AQ173),"","&lt;b&gt;")</f>
        <v/>
      </c>
      <c r="AQ173" s="47" t="inlineStr">
        <is>
          <t xml:space="preserve">Agency Reduction Plan:&lt;br&gt;Additional </t>
        </is>
      </c>
      <c r="AR173" s="42" t="n">
        <v>2</v>
      </c>
      <c r="AS173" s="4">
        <f>IF(ISBLANK(AR173),""," %")</f>
        <v/>
      </c>
      <c r="AT173" s="4">
        <f t="array" ref="AT173">_xlfn.IFS(NOT(ISBLANK(AU173))," (pgs. ",NOT(ISBLANK(AS173))," (pg. ", ISBLANK(AS173), "")</f>
        <v/>
      </c>
      <c r="AU173" s="52" t="n">
        <v>160</v>
      </c>
      <c r="AV173" s="4">
        <f>IF(ISBLANK(AW173),"",", ")</f>
        <v/>
      </c>
      <c r="AW173" s="42" t="n"/>
      <c r="AX173" s="4">
        <f>IF(ISBLANK(AY173),"",",&lt;br&gt;")</f>
        <v/>
      </c>
      <c r="AY173" s="42" t="n"/>
      <c r="AZ173" s="49">
        <f>IF(ISBLANK(AU173),"",")&lt;/b&gt;")</f>
        <v/>
      </c>
      <c r="BA173" s="4">
        <f>IF(ISBLANK(BC173),"","&lt;br&gt;")</f>
        <v/>
      </c>
      <c r="BB173" s="42">
        <f t="array" ref="BB173">IF(ISBLANK(BC173),"",_xlfn.LET(
_xlpm.words,_xlfn.TEXTSPLIT(TRIM(BC173),"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73" s="50" t="inlineStr">
        <is>
          <t>ISHS relies on contract usage ranging from mobile security to marketing. Ongoing funding loss impact will range from marketing services resulting in less visitation, security services resulting in increased risk, travel resulting in less Idahoans served, and repairs and ongoing maintenance needs deferred resulting in increased costs.</t>
        </is>
      </c>
    </row>
    <row r="174">
      <c r="A174" s="20">
        <f>_xlfn.TEXTJOIN("", TRUE, F174:H174)</f>
        <v/>
      </c>
      <c r="B174" s="21">
        <f>_xlfn.TEXTJOIN("", TRUE, I174:S174)</f>
        <v/>
      </c>
      <c r="C174" s="21">
        <f>IF(ISBLANK(X174),"", _xlfn.TEXTJOIN("",TRUE,T174:Z174))</f>
        <v/>
      </c>
      <c r="D174" s="21">
        <f>IF(ISBLANK(AB174), "", _xlfn.TEXTJOIN("", TRUE, AA174:AC174))</f>
        <v/>
      </c>
      <c r="E174" s="22">
        <f>IF(AU174="NA", _xlfn.TEXTJOIN("", TRUE, AD174:AH174), _xlfn.TEXTJOIN("", TRUE, AD174:AJ174))</f>
        <v/>
      </c>
      <c r="F174" s="42">
        <f>IF(LEFT(G174,4)="FY26","&lt;b&gt;","&lt;i&gt;")</f>
        <v/>
      </c>
      <c r="G174" s="42" t="inlineStr">
        <is>
          <t>FY27 Maintenance</t>
        </is>
      </c>
      <c r="H174" s="42">
        <f>IF(LEFT(G174,4)="FY26","&lt;/b&gt;","&lt;/i&gt;")</f>
        <v/>
      </c>
      <c r="I174" s="43" t="inlineStr">
        <is>
          <t>&lt;i&gt;</t>
        </is>
      </c>
      <c r="J174" s="44" t="inlineStr">
        <is>
          <t>Economic Development</t>
        </is>
      </c>
      <c r="K174" s="44" t="inlineStr">
        <is>
          <t>&lt;/i&gt;</t>
        </is>
      </c>
      <c r="L174" s="4">
        <f>IF(ISBLANK(N174),"","&lt;br&gt;")</f>
        <v/>
      </c>
      <c r="M174" s="42">
        <f>IF(ISBLANK(R174),"&lt;b&gt;","&lt;i&gt;")</f>
        <v/>
      </c>
      <c r="N174" s="42" t="inlineStr">
        <is>
          <t>Dept. of Self-Governing Agencies</t>
        </is>
      </c>
      <c r="O174" s="42">
        <f>IF(ISBLANK(R174),"&lt;/b&gt;","&lt;/i&gt;")</f>
        <v/>
      </c>
      <c r="P174" s="4">
        <f>IF(ISBLANK(R174),"","&lt;br&gt;")</f>
        <v/>
      </c>
      <c r="Q174" s="42">
        <f>IF(ISBLANK(R174),"","&lt;b&gt;")</f>
        <v/>
      </c>
      <c r="R174" s="42" t="inlineStr">
        <is>
          <t>State Lottery</t>
        </is>
      </c>
      <c r="S174" s="42">
        <f>IF(ISBLANK(R174),"","&lt;/i&gt;")</f>
        <v/>
      </c>
      <c r="T174" s="43">
        <f>IF(ISBLANK(X174),"",IF(OR(AB174="PASSED",ISBLANK(N174)),"&lt;b&gt;","&lt;i&gt;"))</f>
        <v/>
      </c>
      <c r="U174" s="3">
        <f>IF(ISBLANK(V174),"","&lt;a href='")</f>
        <v/>
      </c>
      <c r="V174" s="39" t="inlineStr">
        <is>
          <t>https://legislature.idaho.gov/sessioninfo/2026/legislation/S1373/</t>
        </is>
      </c>
      <c r="W174" s="17">
        <f>IF(ISBLANK(V174),"","'&gt;")</f>
        <v/>
      </c>
      <c r="X174" s="12" t="inlineStr">
        <is>
          <t>Senate Bill 1373</t>
        </is>
      </c>
      <c r="Y174" s="17">
        <f>IF(ISBLANK(X174),"","&lt;/a&gt;")</f>
        <v/>
      </c>
      <c r="Z174" s="42">
        <f>IF(ISBLANK(X174),"",IF(OR(AB174="PASSED",ISBLANK(N174)),"&lt;/b&gt;","&lt;/i&gt;"))</f>
        <v/>
      </c>
      <c r="AA174" s="43">
        <f>IF(AB174="PASSED","&lt;b&gt;","")</f>
        <v/>
      </c>
      <c r="AB174" s="45" t="inlineStr">
        <is>
          <t>INTRODUCED</t>
        </is>
      </c>
      <c r="AC174" s="43">
        <f>IF(AB174="PASSED","&lt;/b&gt;","")</f>
        <v/>
      </c>
      <c r="AD174" s="43">
        <f>IF(ISBLANK(AE174),"","&lt;b&gt;")</f>
        <v/>
      </c>
      <c r="AE174" s="51" t="inlineStr">
        <is>
          <t>02/13</t>
        </is>
      </c>
      <c r="AF174" s="42">
        <f>IF(ISBLANK(AE174),"",": ")</f>
        <v/>
      </c>
      <c r="AG174" s="42" t="inlineStr">
        <is>
          <t>FY27 reduction (-5%)</t>
        </is>
      </c>
      <c r="AH174" s="42">
        <f>IF(ISBLANK(AE174),"","&lt;/b&gt;")</f>
        <v/>
      </c>
      <c r="AI174" s="42" t="n"/>
      <c r="AJ174" s="42">
        <f>IF(ISBLANK(AI174),"","&lt;br&gt;"&amp;AI174)</f>
        <v/>
      </c>
      <c r="AK174" s="4" t="inlineStr">
        <is>
          <t>&lt;br&gt;</t>
        </is>
      </c>
      <c r="AL174" s="42" t="inlineStr">
        <is>
          <t>&lt;b&gt;&lt;i&gt;</t>
        </is>
      </c>
      <c r="AM174" s="42" t="inlineStr">
        <is>
          <t>Governor's 3% + JFAC's 2%</t>
        </is>
      </c>
      <c r="AN174" s="42">
        <f>IF(ISBLANK(AM174),"","&lt;/i&gt;")</f>
        <v/>
      </c>
      <c r="AO174" s="35">
        <f>IF(ISBLANK(AQ174),"","&lt;/b&gt;&lt;br&gt;&lt;br&gt;")</f>
        <v/>
      </c>
      <c r="AP174" s="42">
        <f>IF(ISBLANK(AQ174),"","&lt;b&gt;")</f>
        <v/>
      </c>
      <c r="AQ174" s="47" t="inlineStr">
        <is>
          <t xml:space="preserve">Agency Reduction Plan:&lt;br&gt;Additional </t>
        </is>
      </c>
      <c r="AR174" s="42" t="n">
        <v>2</v>
      </c>
      <c r="AS174" s="4">
        <f>IF(ISBLANK(AR174),""," %")</f>
        <v/>
      </c>
      <c r="AT174" s="4">
        <f t="array" ref="AT174">_xlfn.IFS(NOT(ISBLANK(AU174))," (pgs. ",NOT(ISBLANK(AS174))," (pg. ", ISBLANK(AS174), "")</f>
        <v/>
      </c>
      <c r="AU174" s="52" t="inlineStr">
        <is>
          <t>NA</t>
        </is>
      </c>
      <c r="AV174" s="4">
        <f>IF(ISBLANK(AW174),"",", ")</f>
        <v/>
      </c>
      <c r="AW174" s="42" t="n"/>
      <c r="AX174" s="4">
        <f>IF(ISBLANK(AY174),"",",&lt;br&gt;")</f>
        <v/>
      </c>
      <c r="AY174" s="42" t="n"/>
      <c r="AZ174" s="49">
        <f>IF(ISBLANK(AU174),"",")&lt;/b&gt;")</f>
        <v/>
      </c>
      <c r="BA174" s="4">
        <f>IF(ISBLANK(BC174),"","&lt;br&gt;")</f>
        <v/>
      </c>
      <c r="BB174" s="42">
        <f t="array" ref="BB174">IF(ISBLANK(BC174),"",_xlfn.LET(
_xlpm.words,_xlfn.TEXTSPLIT(TRIM(BC174),"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74" s="50" t="n"/>
    </row>
    <row r="175">
      <c r="A175" s="20">
        <f>_xlfn.TEXTJOIN("", TRUE, F175:H175)</f>
        <v/>
      </c>
      <c r="B175" s="21">
        <f>_xlfn.TEXTJOIN("", TRUE, I175:S175)</f>
        <v/>
      </c>
      <c r="C175" s="21">
        <f>IF(ISBLANK(X175),"", _xlfn.TEXTJOIN("",TRUE,T175:Z175))</f>
        <v/>
      </c>
      <c r="D175" s="21">
        <f>IF(ISBLANK(AB175), "", _xlfn.TEXTJOIN("", TRUE, AA175:AC175))</f>
        <v/>
      </c>
      <c r="E175" s="22">
        <f>IF(AU175="NA", _xlfn.TEXTJOIN("", TRUE, AD175:AH175), _xlfn.TEXTJOIN("", TRUE, AD175:AJ175))</f>
        <v/>
      </c>
      <c r="F175" s="42">
        <f>IF(LEFT(G175,4)="FY26","&lt;b&gt;","&lt;i&gt;")</f>
        <v/>
      </c>
      <c r="G175" s="42" t="inlineStr">
        <is>
          <t>FY27 Maintenance</t>
        </is>
      </c>
      <c r="H175" s="42">
        <f>IF(LEFT(G175,4)="FY26","&lt;/b&gt;","&lt;/i&gt;")</f>
        <v/>
      </c>
      <c r="I175" s="43" t="inlineStr">
        <is>
          <t>&lt;i&gt;</t>
        </is>
      </c>
      <c r="J175" s="44" t="inlineStr">
        <is>
          <t>Economic Development</t>
        </is>
      </c>
      <c r="K175" s="44" t="inlineStr">
        <is>
          <t>&lt;/i&gt;</t>
        </is>
      </c>
      <c r="L175" s="4">
        <f>IF(ISBLANK(N175),"","&lt;br&gt;")</f>
        <v/>
      </c>
      <c r="M175" s="42">
        <f>IF(ISBLANK(R175),"&lt;b&gt;","&lt;i&gt;")</f>
        <v/>
      </c>
      <c r="N175" s="42" t="inlineStr">
        <is>
          <t>Dept. of Transportation</t>
        </is>
      </c>
      <c r="O175" s="42">
        <f>IF(ISBLANK(R175),"&lt;/b&gt;","&lt;/i&gt;")</f>
        <v/>
      </c>
      <c r="P175" s="4">
        <f>IF(ISBLANK(R175),"","&lt;br&gt;")</f>
        <v/>
      </c>
      <c r="Q175" s="42">
        <f>IF(ISBLANK(R175),"","&lt;b&gt;")</f>
        <v/>
      </c>
      <c r="R175" s="42" t="inlineStr">
        <is>
          <t>Contract Construction &amp; Right-of-Way</t>
        </is>
      </c>
      <c r="S175" s="42">
        <f>IF(ISBLANK(R175),"","&lt;/i&gt;")</f>
        <v/>
      </c>
      <c r="T175" s="43">
        <f>IF(ISBLANK(X175),"",IF(OR(AB175="PASSED",ISBLANK(N175)),"&lt;b&gt;","&lt;i&gt;"))</f>
        <v/>
      </c>
      <c r="U175" s="3">
        <f>IF(ISBLANK(V175),"","&lt;a href='")</f>
        <v/>
      </c>
      <c r="V175" s="39" t="inlineStr">
        <is>
          <t>https://legislature.idaho.gov/sessioninfo/2026/legislation/S1373/</t>
        </is>
      </c>
      <c r="W175" s="17">
        <f>IF(ISBLANK(V175),"","'&gt;")</f>
        <v/>
      </c>
      <c r="X175" s="12" t="inlineStr">
        <is>
          <t>Senate Bill 1373</t>
        </is>
      </c>
      <c r="Y175" s="17">
        <f>IF(ISBLANK(X175),"","&lt;/a&gt;")</f>
        <v/>
      </c>
      <c r="Z175" s="42">
        <f>IF(ISBLANK(X175),"",IF(OR(AB175="PASSED",ISBLANK(N175)),"&lt;/b&gt;","&lt;/i&gt;"))</f>
        <v/>
      </c>
      <c r="AA175" s="43">
        <f>IF(AB175="PASSED","&lt;b&gt;","")</f>
        <v/>
      </c>
      <c r="AB175" s="45" t="inlineStr">
        <is>
          <t>INTRODUCED</t>
        </is>
      </c>
      <c r="AC175" s="43">
        <f>IF(AB175="PASSED","&lt;/b&gt;","")</f>
        <v/>
      </c>
      <c r="AD175" s="43">
        <f>IF(ISBLANK(AE175),"","&lt;b&gt;")</f>
        <v/>
      </c>
      <c r="AE175" s="51" t="inlineStr">
        <is>
          <t>02/13</t>
        </is>
      </c>
      <c r="AF175" s="42">
        <f>IF(ISBLANK(AE175),"",": ")</f>
        <v/>
      </c>
      <c r="AG175" s="42" t="inlineStr">
        <is>
          <t>FY27 reduction (-5%)</t>
        </is>
      </c>
      <c r="AH175" s="42">
        <f>IF(ISBLANK(AE175),"","&lt;/b&gt;")</f>
        <v/>
      </c>
      <c r="AI175" s="42" t="n"/>
      <c r="AJ175" s="42">
        <f>IF(ISBLANK(AI175),"","&lt;br&gt;"&amp;AI175)</f>
        <v/>
      </c>
      <c r="AK175" s="4" t="inlineStr">
        <is>
          <t>&lt;br&gt;</t>
        </is>
      </c>
      <c r="AL175" s="42" t="inlineStr">
        <is>
          <t>&lt;b&gt;&lt;i&gt;</t>
        </is>
      </c>
      <c r="AM175" s="42" t="inlineStr">
        <is>
          <t>Governor's 3% + JFAC's 2%</t>
        </is>
      </c>
      <c r="AN175" s="42">
        <f>IF(ISBLANK(AM175),"","&lt;/i&gt;")</f>
        <v/>
      </c>
      <c r="AO175" s="35">
        <f>IF(ISBLANK(AQ175),"","&lt;/b&gt;&lt;br&gt;&lt;br&gt;")</f>
        <v/>
      </c>
      <c r="AP175" s="42">
        <f>IF(ISBLANK(AQ175),"","&lt;b&gt;")</f>
        <v/>
      </c>
      <c r="AQ175" s="47" t="inlineStr">
        <is>
          <t xml:space="preserve">Agency Reduction Plan:&lt;br&gt;Additional </t>
        </is>
      </c>
      <c r="AR175" s="42" t="n">
        <v>2</v>
      </c>
      <c r="AS175" s="4">
        <f>IF(ISBLANK(AR175),""," %")</f>
        <v/>
      </c>
      <c r="AT175" s="4">
        <f t="array" ref="AT175">_xlfn.IFS(NOT(ISBLANK(AU175))," (pgs. ",NOT(ISBLANK(AS175))," (pg. ", ISBLANK(AS175), "")</f>
        <v/>
      </c>
      <c r="AU175" s="52" t="inlineStr">
        <is>
          <t>NA</t>
        </is>
      </c>
      <c r="AV175" s="4">
        <f>IF(ISBLANK(AW175),"",", ")</f>
        <v/>
      </c>
      <c r="AW175" s="42" t="n"/>
      <c r="AX175" s="4">
        <f>IF(ISBLANK(AY175),"",",&lt;br&gt;")</f>
        <v/>
      </c>
      <c r="AY175" s="42" t="n"/>
      <c r="AZ175" s="49">
        <f>IF(ISBLANK(AU175),"",")&lt;/b&gt;")</f>
        <v/>
      </c>
      <c r="BA175" s="4">
        <f>IF(ISBLANK(BC175),"","&lt;br&gt;")</f>
        <v/>
      </c>
      <c r="BB175" s="42">
        <f t="array" ref="BB175">IF(ISBLANK(BC175),"",_xlfn.LET(
_xlpm.words,_xlfn.TEXTSPLIT(TRIM(BC175),"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75" s="50" t="n"/>
    </row>
    <row r="176">
      <c r="A176" s="20">
        <f>_xlfn.TEXTJOIN("", TRUE, F176:H176)</f>
        <v/>
      </c>
      <c r="B176" s="21">
        <f>_xlfn.TEXTJOIN("", TRUE, I176:S176)</f>
        <v/>
      </c>
      <c r="C176" s="21">
        <f>IF(ISBLANK(X176),"", _xlfn.TEXTJOIN("",TRUE,T176:Z176))</f>
        <v/>
      </c>
      <c r="D176" s="21">
        <f>IF(ISBLANK(AB176), "", _xlfn.TEXTJOIN("", TRUE, AA176:AC176))</f>
        <v/>
      </c>
      <c r="E176" s="22">
        <f>IF(AU176="NA", _xlfn.TEXTJOIN("", TRUE, AD176:AH176), _xlfn.TEXTJOIN("", TRUE, AD176:AJ176))</f>
        <v/>
      </c>
      <c r="F176" s="42">
        <f>IF(LEFT(G176,4)="FY26","&lt;b&gt;","&lt;i&gt;")</f>
        <v/>
      </c>
      <c r="G176" s="42" t="inlineStr">
        <is>
          <t>FY27 Maintenance</t>
        </is>
      </c>
      <c r="H176" s="42">
        <f>IF(LEFT(G176,4)="FY26","&lt;/b&gt;","&lt;/i&gt;")</f>
        <v/>
      </c>
      <c r="I176" s="43" t="inlineStr">
        <is>
          <t>&lt;i&gt;</t>
        </is>
      </c>
      <c r="J176" s="44" t="inlineStr">
        <is>
          <t>Economic Development</t>
        </is>
      </c>
      <c r="K176" s="44" t="inlineStr">
        <is>
          <t>&lt;/i&gt;</t>
        </is>
      </c>
      <c r="L176" s="4">
        <f>IF(ISBLANK(N176),"","&lt;br&gt;")</f>
        <v/>
      </c>
      <c r="M176" s="42">
        <f>IF(ISBLANK(R176),"&lt;b&gt;","&lt;i&gt;")</f>
        <v/>
      </c>
      <c r="N176" s="42" t="inlineStr">
        <is>
          <t>Dept. of Transportation</t>
        </is>
      </c>
      <c r="O176" s="42">
        <f>IF(ISBLANK(R176),"&lt;/b&gt;","&lt;/i&gt;")</f>
        <v/>
      </c>
      <c r="P176" s="4">
        <f>IF(ISBLANK(R176),"","&lt;br&gt;")</f>
        <v/>
      </c>
      <c r="Q176" s="42">
        <f>IF(ISBLANK(R176),"","&lt;b&gt;")</f>
        <v/>
      </c>
      <c r="R176" s="42" t="inlineStr">
        <is>
          <t>Highway Operations</t>
        </is>
      </c>
      <c r="S176" s="42">
        <f>IF(ISBLANK(R176),"","&lt;/i&gt;")</f>
        <v/>
      </c>
      <c r="T176" s="43">
        <f>IF(ISBLANK(X176),"",IF(OR(AB176="PASSED",ISBLANK(N176)),"&lt;b&gt;","&lt;i&gt;"))</f>
        <v/>
      </c>
      <c r="U176" s="3">
        <f>IF(ISBLANK(V176),"","&lt;a href='")</f>
        <v/>
      </c>
      <c r="V176" s="39" t="inlineStr">
        <is>
          <t>https://legislature.idaho.gov/sessioninfo/2026/legislation/S1373/</t>
        </is>
      </c>
      <c r="W176" s="17">
        <f>IF(ISBLANK(V176),"","'&gt;")</f>
        <v/>
      </c>
      <c r="X176" s="12" t="inlineStr">
        <is>
          <t>Senate Bill 1373</t>
        </is>
      </c>
      <c r="Y176" s="17">
        <f>IF(ISBLANK(X176),"","&lt;/a&gt;")</f>
        <v/>
      </c>
      <c r="Z176" s="42">
        <f>IF(ISBLANK(X176),"",IF(OR(AB176="PASSED",ISBLANK(N176)),"&lt;/b&gt;","&lt;/i&gt;"))</f>
        <v/>
      </c>
      <c r="AA176" s="43">
        <f>IF(AB176="PASSED","&lt;b&gt;","")</f>
        <v/>
      </c>
      <c r="AB176" s="45" t="inlineStr">
        <is>
          <t>INTRODUCED</t>
        </is>
      </c>
      <c r="AC176" s="43">
        <f>IF(AB176="PASSED","&lt;/b&gt;","")</f>
        <v/>
      </c>
      <c r="AD176" s="43">
        <f>IF(ISBLANK(AE176),"","&lt;b&gt;")</f>
        <v/>
      </c>
      <c r="AE176" s="51" t="inlineStr">
        <is>
          <t>02/13</t>
        </is>
      </c>
      <c r="AF176" s="42">
        <f>IF(ISBLANK(AE176),"",": ")</f>
        <v/>
      </c>
      <c r="AG176" s="42" t="inlineStr">
        <is>
          <t>FY27 reduction (-5%)</t>
        </is>
      </c>
      <c r="AH176" s="42">
        <f>IF(ISBLANK(AE176),"","&lt;/b&gt;")</f>
        <v/>
      </c>
      <c r="AI176" s="42" t="n"/>
      <c r="AJ176" s="42">
        <f>IF(ISBLANK(AI176),"","&lt;br&gt;"&amp;AI176)</f>
        <v/>
      </c>
      <c r="AK176" s="4" t="inlineStr">
        <is>
          <t>&lt;br&gt;</t>
        </is>
      </c>
      <c r="AL176" s="42" t="inlineStr">
        <is>
          <t>&lt;b&gt;&lt;i&gt;</t>
        </is>
      </c>
      <c r="AM176" s="42" t="inlineStr">
        <is>
          <t>Governor's 3% + JFAC's 2%</t>
        </is>
      </c>
      <c r="AN176" s="42">
        <f>IF(ISBLANK(AM176),"","&lt;/i&gt;")</f>
        <v/>
      </c>
      <c r="AO176" s="35">
        <f>IF(ISBLANK(AQ176),"","&lt;/b&gt;&lt;br&gt;&lt;br&gt;")</f>
        <v/>
      </c>
      <c r="AP176" s="42">
        <f>IF(ISBLANK(AQ176),"","&lt;b&gt;")</f>
        <v/>
      </c>
      <c r="AQ176" s="47" t="inlineStr">
        <is>
          <t xml:space="preserve">Agency Reduction Plan:&lt;br&gt;Additional </t>
        </is>
      </c>
      <c r="AR176" s="42" t="n">
        <v>2</v>
      </c>
      <c r="AS176" s="4">
        <f>IF(ISBLANK(AR176),""," %")</f>
        <v/>
      </c>
      <c r="AT176" s="4">
        <f t="array" ref="AT176">_xlfn.IFS(NOT(ISBLANK(AU176))," (pgs. ",NOT(ISBLANK(AS176))," (pg. ", ISBLANK(AS176), "")</f>
        <v/>
      </c>
      <c r="AU176" s="52" t="inlineStr">
        <is>
          <t>NA</t>
        </is>
      </c>
      <c r="AV176" s="4">
        <f>IF(ISBLANK(AW176),"",", ")</f>
        <v/>
      </c>
      <c r="AW176" s="42" t="n"/>
      <c r="AX176" s="4">
        <f>IF(ISBLANK(AY176),"",",&lt;br&gt;")</f>
        <v/>
      </c>
      <c r="AY176" s="42" t="n"/>
      <c r="AZ176" s="49">
        <f>IF(ISBLANK(AU176),"",")&lt;/b&gt;")</f>
        <v/>
      </c>
      <c r="BA176" s="4">
        <f>IF(ISBLANK(BC176),"","&lt;br&gt;")</f>
        <v/>
      </c>
      <c r="BB176" s="42">
        <f t="array" ref="BB176">IF(ISBLANK(BC176),"",_xlfn.LET(
_xlpm.words,_xlfn.TEXTSPLIT(TRIM(BC176),"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76" s="50" t="n"/>
    </row>
    <row r="177">
      <c r="A177" s="20">
        <f>_xlfn.TEXTJOIN("", TRUE, F177:H177)</f>
        <v/>
      </c>
      <c r="B177" s="21">
        <f>_xlfn.TEXTJOIN("", TRUE, I177:S177)</f>
        <v/>
      </c>
      <c r="C177" s="21">
        <f>IF(ISBLANK(X177),"", _xlfn.TEXTJOIN("",TRUE,T177:Z177))</f>
        <v/>
      </c>
      <c r="D177" s="21">
        <f>IF(ISBLANK(AB177), "", _xlfn.TEXTJOIN("", TRUE, AA177:AC177))</f>
        <v/>
      </c>
      <c r="E177" s="22">
        <f>IF(AU177="NA", _xlfn.TEXTJOIN("", TRUE, AD177:AH177), _xlfn.TEXTJOIN("", TRUE, AD177:AJ177))</f>
        <v/>
      </c>
      <c r="F177" s="42">
        <f>IF(LEFT(G177,4)="FY26","&lt;b&gt;","&lt;i&gt;")</f>
        <v/>
      </c>
      <c r="G177" s="42" t="inlineStr">
        <is>
          <t>FY27 Maintenance</t>
        </is>
      </c>
      <c r="H177" s="42">
        <f>IF(LEFT(G177,4)="FY26","&lt;/b&gt;","&lt;/i&gt;")</f>
        <v/>
      </c>
      <c r="I177" s="43" t="inlineStr">
        <is>
          <t>&lt;i&gt;</t>
        </is>
      </c>
      <c r="J177" s="44" t="inlineStr">
        <is>
          <t>Economic Development</t>
        </is>
      </c>
      <c r="K177" s="44" t="inlineStr">
        <is>
          <t>&lt;/i&gt;</t>
        </is>
      </c>
      <c r="L177" s="4">
        <f>IF(ISBLANK(N177),"","&lt;br&gt;")</f>
        <v/>
      </c>
      <c r="M177" s="42">
        <f>IF(ISBLANK(R177),"&lt;b&gt;","&lt;i&gt;")</f>
        <v/>
      </c>
      <c r="N177" s="42" t="inlineStr">
        <is>
          <t>Dept. of Transportation</t>
        </is>
      </c>
      <c r="O177" s="42">
        <f>IF(ISBLANK(R177),"&lt;/b&gt;","&lt;/i&gt;")</f>
        <v/>
      </c>
      <c r="P177" s="4">
        <f>IF(ISBLANK(R177),"","&lt;br&gt;")</f>
        <v/>
      </c>
      <c r="Q177" s="42">
        <f>IF(ISBLANK(R177),"","&lt;b&gt;")</f>
        <v/>
      </c>
      <c r="R177" s="42" t="inlineStr">
        <is>
          <t>Motor Vehicles</t>
        </is>
      </c>
      <c r="S177" s="42">
        <f>IF(ISBLANK(R177),"","&lt;/i&gt;")</f>
        <v/>
      </c>
      <c r="T177" s="43">
        <f>IF(ISBLANK(X177),"",IF(OR(AB177="PASSED",ISBLANK(N177)),"&lt;b&gt;","&lt;i&gt;"))</f>
        <v/>
      </c>
      <c r="U177" s="3">
        <f>IF(ISBLANK(V177),"","&lt;a href='")</f>
        <v/>
      </c>
      <c r="V177" s="39" t="inlineStr">
        <is>
          <t>https://legislature.idaho.gov/sessioninfo/2026/legislation/S1373/</t>
        </is>
      </c>
      <c r="W177" s="17">
        <f>IF(ISBLANK(V177),"","'&gt;")</f>
        <v/>
      </c>
      <c r="X177" s="12" t="inlineStr">
        <is>
          <t>Senate Bill 1373</t>
        </is>
      </c>
      <c r="Y177" s="17">
        <f>IF(ISBLANK(X177),"","&lt;/a&gt;")</f>
        <v/>
      </c>
      <c r="Z177" s="42">
        <f>IF(ISBLANK(X177),"",IF(OR(AB177="PASSED",ISBLANK(N177)),"&lt;/b&gt;","&lt;/i&gt;"))</f>
        <v/>
      </c>
      <c r="AA177" s="43">
        <f>IF(AB177="PASSED","&lt;b&gt;","")</f>
        <v/>
      </c>
      <c r="AB177" s="45" t="inlineStr">
        <is>
          <t>INTRODUCED</t>
        </is>
      </c>
      <c r="AC177" s="43">
        <f>IF(AB177="PASSED","&lt;/b&gt;","")</f>
        <v/>
      </c>
      <c r="AD177" s="43">
        <f>IF(ISBLANK(AE177),"","&lt;b&gt;")</f>
        <v/>
      </c>
      <c r="AE177" s="51" t="inlineStr">
        <is>
          <t>02/13</t>
        </is>
      </c>
      <c r="AF177" s="42">
        <f>IF(ISBLANK(AE177),"",": ")</f>
        <v/>
      </c>
      <c r="AG177" s="42" t="inlineStr">
        <is>
          <t>FY27 reduction (-5%)</t>
        </is>
      </c>
      <c r="AH177" s="42">
        <f>IF(ISBLANK(AE177),"","&lt;/b&gt;")</f>
        <v/>
      </c>
      <c r="AI177" s="42" t="n"/>
      <c r="AJ177" s="42">
        <f>IF(ISBLANK(AI177),"","&lt;br&gt;"&amp;AI177)</f>
        <v/>
      </c>
      <c r="AK177" s="4" t="inlineStr">
        <is>
          <t>&lt;br&gt;</t>
        </is>
      </c>
      <c r="AL177" s="42" t="inlineStr">
        <is>
          <t>&lt;b&gt;&lt;i&gt;</t>
        </is>
      </c>
      <c r="AM177" s="42" t="inlineStr">
        <is>
          <t>Governor's 3% + JFAC's 2%</t>
        </is>
      </c>
      <c r="AN177" s="42">
        <f>IF(ISBLANK(AM177),"","&lt;/i&gt;")</f>
        <v/>
      </c>
      <c r="AO177" s="35">
        <f>IF(ISBLANK(AQ177),"","&lt;/b&gt;&lt;br&gt;&lt;br&gt;")</f>
        <v/>
      </c>
      <c r="AP177" s="42">
        <f>IF(ISBLANK(AQ177),"","&lt;b&gt;")</f>
        <v/>
      </c>
      <c r="AQ177" s="47" t="inlineStr">
        <is>
          <t xml:space="preserve">Agency Reduction Plan:&lt;br&gt;Additional </t>
        </is>
      </c>
      <c r="AR177" s="42" t="n">
        <v>2</v>
      </c>
      <c r="AS177" s="4">
        <f>IF(ISBLANK(AR177),""," %")</f>
        <v/>
      </c>
      <c r="AT177" s="4">
        <f t="array" ref="AT177">_xlfn.IFS(NOT(ISBLANK(AU177))," (pgs. ",NOT(ISBLANK(AS177))," (pg. ", ISBLANK(AS177), "")</f>
        <v/>
      </c>
      <c r="AU177" s="52" t="inlineStr">
        <is>
          <t>NA</t>
        </is>
      </c>
      <c r="AV177" s="4">
        <f>IF(ISBLANK(AW177),"",", ")</f>
        <v/>
      </c>
      <c r="AW177" s="42" t="n"/>
      <c r="AX177" s="4">
        <f>IF(ISBLANK(AY177),"",",&lt;br&gt;")</f>
        <v/>
      </c>
      <c r="AY177" s="42" t="n"/>
      <c r="AZ177" s="49">
        <f>IF(ISBLANK(AU177),"",")&lt;/b&gt;")</f>
        <v/>
      </c>
      <c r="BA177" s="4">
        <f>IF(ISBLANK(BC177),"","&lt;br&gt;")</f>
        <v/>
      </c>
      <c r="BB177" s="42">
        <f t="array" ref="BB177">IF(ISBLANK(BC177),"",_xlfn.LET(
_xlpm.words,_xlfn.TEXTSPLIT(TRIM(BC177),"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77" s="50" t="n"/>
    </row>
    <row r="178">
      <c r="A178" s="20">
        <f>_xlfn.TEXTJOIN("", TRUE, F178:H178)</f>
        <v/>
      </c>
      <c r="B178" s="21">
        <f>_xlfn.TEXTJOIN("", TRUE, I178:S178)</f>
        <v/>
      </c>
      <c r="C178" s="21">
        <f>IF(ISBLANK(X178),"", _xlfn.TEXTJOIN("",TRUE,T178:Z178))</f>
        <v/>
      </c>
      <c r="D178" s="21">
        <f>IF(ISBLANK(AB178), "", _xlfn.TEXTJOIN("", TRUE, AA178:AC178))</f>
        <v/>
      </c>
      <c r="E178" s="22">
        <f>IF(AU178="NA", _xlfn.TEXTJOIN("", TRUE, AD178:AH178), _xlfn.TEXTJOIN("", TRUE, AD178:AJ178))</f>
        <v/>
      </c>
      <c r="F178" s="42">
        <f>IF(LEFT(G178,4)="FY26","&lt;b&gt;","&lt;i&gt;")</f>
        <v/>
      </c>
      <c r="G178" s="42" t="inlineStr">
        <is>
          <t>FY27 Maintenance</t>
        </is>
      </c>
      <c r="H178" s="42">
        <f>IF(LEFT(G178,4)="FY26","&lt;/b&gt;","&lt;/i&gt;")</f>
        <v/>
      </c>
      <c r="I178" s="43" t="inlineStr">
        <is>
          <t>&lt;i&gt;</t>
        </is>
      </c>
      <c r="J178" s="44" t="inlineStr">
        <is>
          <t>Economic Development</t>
        </is>
      </c>
      <c r="K178" s="44" t="inlineStr">
        <is>
          <t>&lt;/i&gt;</t>
        </is>
      </c>
      <c r="L178" s="4">
        <f>IF(ISBLANK(N178),"","&lt;br&gt;")</f>
        <v/>
      </c>
      <c r="M178" s="42">
        <f>IF(ISBLANK(R178),"&lt;b&gt;","&lt;i&gt;")</f>
        <v/>
      </c>
      <c r="N178" s="42" t="inlineStr">
        <is>
          <t>Dept. of Transportation</t>
        </is>
      </c>
      <c r="O178" s="42">
        <f>IF(ISBLANK(R178),"&lt;/b&gt;","&lt;/i&gt;")</f>
        <v/>
      </c>
      <c r="P178" s="4">
        <f>IF(ISBLANK(R178),"","&lt;br&gt;")</f>
        <v/>
      </c>
      <c r="Q178" s="42">
        <f>IF(ISBLANK(R178),"","&lt;b&gt;")</f>
        <v/>
      </c>
      <c r="R178" s="42" t="inlineStr">
        <is>
          <t>Transportation Services</t>
        </is>
      </c>
      <c r="S178" s="42">
        <f>IF(ISBLANK(R178),"","&lt;/i&gt;")</f>
        <v/>
      </c>
      <c r="T178" s="43">
        <f>IF(ISBLANK(X178),"",IF(OR(AB178="PASSED",ISBLANK(N178)),"&lt;b&gt;","&lt;i&gt;"))</f>
        <v/>
      </c>
      <c r="U178" s="3">
        <f>IF(ISBLANK(V178),"","&lt;a href='")</f>
        <v/>
      </c>
      <c r="V178" s="39" t="inlineStr">
        <is>
          <t>https://legislature.idaho.gov/sessioninfo/2026/legislation/S1373/</t>
        </is>
      </c>
      <c r="W178" s="17">
        <f>IF(ISBLANK(V178),"","'&gt;")</f>
        <v/>
      </c>
      <c r="X178" s="12" t="inlineStr">
        <is>
          <t>Senate Bill 1373</t>
        </is>
      </c>
      <c r="Y178" s="17">
        <f>IF(ISBLANK(X178),"","&lt;/a&gt;")</f>
        <v/>
      </c>
      <c r="Z178" s="42">
        <f>IF(ISBLANK(X178),"",IF(OR(AB178="PASSED",ISBLANK(N178)),"&lt;/b&gt;","&lt;/i&gt;"))</f>
        <v/>
      </c>
      <c r="AA178" s="43">
        <f>IF(AB178="PASSED","&lt;b&gt;","")</f>
        <v/>
      </c>
      <c r="AB178" s="45" t="inlineStr">
        <is>
          <t>INTRODUCED</t>
        </is>
      </c>
      <c r="AC178" s="43">
        <f>IF(AB178="PASSED","&lt;/b&gt;","")</f>
        <v/>
      </c>
      <c r="AD178" s="43">
        <f>IF(ISBLANK(AE178),"","&lt;b&gt;")</f>
        <v/>
      </c>
      <c r="AE178" s="51" t="inlineStr">
        <is>
          <t>02/13</t>
        </is>
      </c>
      <c r="AF178" s="42">
        <f>IF(ISBLANK(AE178),"",": ")</f>
        <v/>
      </c>
      <c r="AG178" s="42" t="inlineStr">
        <is>
          <t>FY27 reduction (-5%)</t>
        </is>
      </c>
      <c r="AH178" s="42">
        <f>IF(ISBLANK(AE178),"","&lt;/b&gt;")</f>
        <v/>
      </c>
      <c r="AI178" s="42" t="n"/>
      <c r="AJ178" s="42">
        <f>IF(ISBLANK(AI178),"","&lt;br&gt;"&amp;AI178)</f>
        <v/>
      </c>
      <c r="AK178" s="4" t="inlineStr">
        <is>
          <t>&lt;br&gt;</t>
        </is>
      </c>
      <c r="AL178" s="42" t="inlineStr">
        <is>
          <t>&lt;b&gt;&lt;i&gt;</t>
        </is>
      </c>
      <c r="AM178" s="42" t="inlineStr">
        <is>
          <t>Governor's 3% + JFAC's 2%</t>
        </is>
      </c>
      <c r="AN178" s="42">
        <f>IF(ISBLANK(AM178),"","&lt;/i&gt;")</f>
        <v/>
      </c>
      <c r="AO178" s="35">
        <f>IF(ISBLANK(AQ178),"","&lt;/b&gt;&lt;br&gt;&lt;br&gt;")</f>
        <v/>
      </c>
      <c r="AP178" s="42">
        <f>IF(ISBLANK(AQ178),"","&lt;b&gt;")</f>
        <v/>
      </c>
      <c r="AQ178" s="47" t="inlineStr">
        <is>
          <t xml:space="preserve">Agency Reduction Plan:&lt;br&gt;Additional </t>
        </is>
      </c>
      <c r="AR178" s="42" t="n">
        <v>2</v>
      </c>
      <c r="AS178" s="4">
        <f>IF(ISBLANK(AR178),""," %")</f>
        <v/>
      </c>
      <c r="AT178" s="4">
        <f t="array" ref="AT178">_xlfn.IFS(NOT(ISBLANK(AU178))," (pgs. ",NOT(ISBLANK(AS178))," (pg. ", ISBLANK(AS178), "")</f>
        <v/>
      </c>
      <c r="AU178" s="52" t="inlineStr">
        <is>
          <t>NA</t>
        </is>
      </c>
      <c r="AV178" s="4">
        <f>IF(ISBLANK(AW178),"",", ")</f>
        <v/>
      </c>
      <c r="AW178" s="42" t="n"/>
      <c r="AX178" s="4">
        <f>IF(ISBLANK(AY178),"",",&lt;br&gt;")</f>
        <v/>
      </c>
      <c r="AY178" s="42" t="n"/>
      <c r="AZ178" s="49">
        <f>IF(ISBLANK(AU178),"",")&lt;/b&gt;")</f>
        <v/>
      </c>
      <c r="BA178" s="4">
        <f>IF(ISBLANK(BC178),"","&lt;br&gt;")</f>
        <v/>
      </c>
      <c r="BB178" s="42">
        <f t="array" ref="BB178">IF(ISBLANK(BC178),"",_xlfn.LET(
_xlpm.words,_xlfn.TEXTSPLIT(TRIM(BC178),"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78" s="50" t="n"/>
    </row>
    <row r="179">
      <c r="A179" s="20">
        <f>_xlfn.TEXTJOIN("", TRUE, F179:H179)</f>
        <v/>
      </c>
      <c r="B179" s="21">
        <f>_xlfn.TEXTJOIN("", TRUE, I179:S179)</f>
        <v/>
      </c>
      <c r="C179" s="21">
        <f>IF(ISBLANK(X179),"", _xlfn.TEXTJOIN("",TRUE,T179:Z179))</f>
        <v/>
      </c>
      <c r="D179" s="21">
        <f>IF(ISBLANK(AB179), "", _xlfn.TEXTJOIN("", TRUE, AA179:AC179))</f>
        <v/>
      </c>
      <c r="E179" s="22">
        <f>IF(AU179="NA", _xlfn.TEXTJOIN("", TRUE, AD179:AH179), _xlfn.TEXTJOIN("", TRUE, AD179:AJ179))</f>
        <v/>
      </c>
      <c r="F179" s="42">
        <f>IF(LEFT(G179,4)="FY26","&lt;b&gt;","&lt;i&gt;")</f>
        <v/>
      </c>
      <c r="G179" s="42" t="inlineStr">
        <is>
          <t>FY27 Maintenance</t>
        </is>
      </c>
      <c r="H179" s="42">
        <f>IF(LEFT(G179,4)="FY26","&lt;/b&gt;","&lt;/i&gt;")</f>
        <v/>
      </c>
      <c r="I179" s="43" t="inlineStr">
        <is>
          <t>&lt;i&gt;</t>
        </is>
      </c>
      <c r="J179" s="44" t="inlineStr">
        <is>
          <t>Economic Development</t>
        </is>
      </c>
      <c r="K179" s="44" t="inlineStr">
        <is>
          <t>&lt;/i&gt;</t>
        </is>
      </c>
      <c r="L179" s="4">
        <f>IF(ISBLANK(N179),"","&lt;br&gt;")</f>
        <v/>
      </c>
      <c r="M179" s="42">
        <f>IF(ISBLANK(R179),"&lt;b&gt;","&lt;i&gt;")</f>
        <v/>
      </c>
      <c r="N179" s="42" t="inlineStr">
        <is>
          <t>Industrial Comm.</t>
        </is>
      </c>
      <c r="O179" s="42">
        <f>IF(ISBLANK(R179),"&lt;/b&gt;","&lt;/i&gt;")</f>
        <v/>
      </c>
      <c r="P179" s="4">
        <f>IF(ISBLANK(R179),"","&lt;br&gt;")</f>
        <v/>
      </c>
      <c r="Q179" s="42">
        <f>IF(ISBLANK(R179),"","&lt;b&gt;")</f>
        <v/>
      </c>
      <c r="R179" s="42" t="n"/>
      <c r="S179" s="42">
        <f>IF(ISBLANK(R179),"","&lt;/i&gt;")</f>
        <v/>
      </c>
      <c r="T179" s="43">
        <f>IF(ISBLANK(X179),"",IF(OR(AB179="PASSED",ISBLANK(N179)),"&lt;b&gt;","&lt;i&gt;"))</f>
        <v/>
      </c>
      <c r="U179" s="3">
        <f>IF(ISBLANK(V179),"","&lt;a href='")</f>
        <v/>
      </c>
      <c r="V179" s="39" t="inlineStr">
        <is>
          <t>https://legislature.idaho.gov/sessioninfo/2026/legislation/S1373/</t>
        </is>
      </c>
      <c r="W179" s="17">
        <f>IF(ISBLANK(V179),"","'&gt;")</f>
        <v/>
      </c>
      <c r="X179" s="12" t="inlineStr">
        <is>
          <t>Senate Bill 1373</t>
        </is>
      </c>
      <c r="Y179" s="17">
        <f>IF(ISBLANK(X179),"","&lt;/a&gt;")</f>
        <v/>
      </c>
      <c r="Z179" s="42">
        <f>IF(ISBLANK(X179),"",IF(OR(AB179="PASSED",ISBLANK(N179)),"&lt;/b&gt;","&lt;/i&gt;"))</f>
        <v/>
      </c>
      <c r="AA179" s="43">
        <f>IF(AB179="PASSED","&lt;b&gt;","")</f>
        <v/>
      </c>
      <c r="AB179" s="45" t="inlineStr">
        <is>
          <t>INTRODUCED</t>
        </is>
      </c>
      <c r="AC179" s="43">
        <f>IF(AB179="PASSED","&lt;/b&gt;","")</f>
        <v/>
      </c>
      <c r="AD179" s="43">
        <f>IF(ISBLANK(AE179),"","&lt;b&gt;")</f>
        <v/>
      </c>
      <c r="AE179" s="51" t="inlineStr">
        <is>
          <t>02/13</t>
        </is>
      </c>
      <c r="AF179" s="42">
        <f>IF(ISBLANK(AE179),"",": ")</f>
        <v/>
      </c>
      <c r="AG179" s="42" t="inlineStr">
        <is>
          <t>FY27 reduction (-5%)</t>
        </is>
      </c>
      <c r="AH179" s="42">
        <f>IF(ISBLANK(AE179),"","&lt;/b&gt;")</f>
        <v/>
      </c>
      <c r="AI179" s="42" t="n"/>
      <c r="AJ179" s="42">
        <f>IF(ISBLANK(AI179),"","&lt;br&gt;"&amp;AI179)</f>
        <v/>
      </c>
      <c r="AK179" s="4" t="inlineStr">
        <is>
          <t>&lt;br&gt;</t>
        </is>
      </c>
      <c r="AL179" s="42" t="inlineStr">
        <is>
          <t>&lt;b&gt;&lt;i&gt;</t>
        </is>
      </c>
      <c r="AM179" s="42" t="inlineStr">
        <is>
          <t>Governor's 3% + JFAC's 2%</t>
        </is>
      </c>
      <c r="AN179" s="42">
        <f>IF(ISBLANK(AM179),"","&lt;/i&gt;")</f>
        <v/>
      </c>
      <c r="AO179" s="35">
        <f>IF(ISBLANK(AQ179),"","&lt;/b&gt;&lt;br&gt;&lt;br&gt;")</f>
        <v/>
      </c>
      <c r="AP179" s="42">
        <f>IF(ISBLANK(AQ179),"","&lt;b&gt;")</f>
        <v/>
      </c>
      <c r="AQ179" s="47" t="inlineStr">
        <is>
          <t xml:space="preserve">Agency Reduction Plan:&lt;br&gt;Additional </t>
        </is>
      </c>
      <c r="AR179" s="42" t="n">
        <v>2</v>
      </c>
      <c r="AS179" s="4">
        <f>IF(ISBLANK(AR179),""," %")</f>
        <v/>
      </c>
      <c r="AT179" s="4">
        <f t="array" ref="AT179">_xlfn.IFS(NOT(ISBLANK(AU179))," (pgs. ",NOT(ISBLANK(AS179))," (pg. ", ISBLANK(AS179), "")</f>
        <v/>
      </c>
      <c r="AU179" s="52" t="n">
        <v>152</v>
      </c>
      <c r="AV179" s="4">
        <f>IF(ISBLANK(AW179),"",", ")</f>
        <v/>
      </c>
      <c r="AW179" s="42" t="n"/>
      <c r="AX179" s="4">
        <f>IF(ISBLANK(AY179),"",",&lt;br&gt;")</f>
        <v/>
      </c>
      <c r="AY179" s="42" t="n"/>
      <c r="AZ179" s="49">
        <f>IF(ISBLANK(AU179),"",")&lt;/b&gt;")</f>
        <v/>
      </c>
      <c r="BA179" s="4">
        <f>IF(ISBLANK(BC179),"","&lt;br&gt;")</f>
        <v/>
      </c>
      <c r="BB179" s="42">
        <f t="array" ref="BB179">IF(ISBLANK(BC179),"",_xlfn.LET(
_xlpm.words,_xlfn.TEXTSPLIT(TRIM(BC179),"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79" s="50" t="inlineStr">
        <is>
          <t>Since our General Fund appropriation can only be used for payment of adult sexual assault forensic examinations, and cannot be used to cover Trustee and Benefit payments for other services, our risks of exceeding the General Fund appropriation are limited. In past years, the General Fund appropriation has been sufficient to cover all costs for these examinations, with the most recent reversion for FY2025 totaling $32,800. Should the General Fund appropriation be exhausted, the costs for these examinations can be shifted to our Dedicated and Federal Funds. Total appropriations for administration of the CVCP are currently sufficient to absorb the estimated General Fund reductions. Therefore, the Commission does not anticipate difficulties in paying all eligible claims and in covering the administration of the program.</t>
        </is>
      </c>
    </row>
    <row r="180">
      <c r="A180" s="20">
        <f>_xlfn.TEXTJOIN("", TRUE, F180:H180)</f>
        <v/>
      </c>
      <c r="B180" s="21">
        <f>_xlfn.TEXTJOIN("", TRUE, I180:S180)</f>
        <v/>
      </c>
      <c r="C180" s="21">
        <f>IF(ISBLANK(X180),"", _xlfn.TEXTJOIN("",TRUE,T180:Z180))</f>
        <v/>
      </c>
      <c r="D180" s="21">
        <f>IF(ISBLANK(AB180), "", _xlfn.TEXTJOIN("", TRUE, AA180:AC180))</f>
        <v/>
      </c>
      <c r="E180" s="22">
        <f>IF(AU180="NA", _xlfn.TEXTJOIN("", TRUE, AD180:AH180), _xlfn.TEXTJOIN("", TRUE, AD180:AJ180))</f>
        <v/>
      </c>
      <c r="F180" s="42">
        <f>IF(LEFT(G180,4)="FY26","&lt;b&gt;","&lt;i&gt;")</f>
        <v/>
      </c>
      <c r="G180" s="42" t="inlineStr">
        <is>
          <t>FY27 Maintenance</t>
        </is>
      </c>
      <c r="H180" s="42">
        <f>IF(LEFT(G180,4)="FY26","&lt;/b&gt;","&lt;/i&gt;")</f>
        <v/>
      </c>
      <c r="I180" s="43" t="inlineStr">
        <is>
          <t>&lt;i&gt;</t>
        </is>
      </c>
      <c r="J180" s="44" t="inlineStr">
        <is>
          <t>Economic Development</t>
        </is>
      </c>
      <c r="K180" s="44" t="inlineStr">
        <is>
          <t>&lt;/i&gt;</t>
        </is>
      </c>
      <c r="L180" s="4">
        <f>IF(ISBLANK(N180),"","&lt;br&gt;")</f>
        <v/>
      </c>
      <c r="M180" s="42">
        <f>IF(ISBLANK(R180),"&lt;b&gt;","&lt;i&gt;")</f>
        <v/>
      </c>
      <c r="N180" s="42" t="inlineStr">
        <is>
          <t>Public Utilities Comm.</t>
        </is>
      </c>
      <c r="O180" s="42">
        <f>IF(ISBLANK(R180),"&lt;/b&gt;","&lt;/i&gt;")</f>
        <v/>
      </c>
      <c r="P180" s="4">
        <f>IF(ISBLANK(R180),"","&lt;br&gt;")</f>
        <v/>
      </c>
      <c r="Q180" s="42">
        <f>IF(ISBLANK(R180),"","&lt;b&gt;")</f>
        <v/>
      </c>
      <c r="R180" s="42" t="n"/>
      <c r="S180" s="42">
        <f>IF(ISBLANK(R180),"","&lt;/i&gt;")</f>
        <v/>
      </c>
      <c r="T180" s="43">
        <f>IF(ISBLANK(X180),"",IF(OR(AB180="PASSED",ISBLANK(N180)),"&lt;b&gt;","&lt;i&gt;"))</f>
        <v/>
      </c>
      <c r="U180" s="3">
        <f>IF(ISBLANK(V180),"","&lt;a href='")</f>
        <v/>
      </c>
      <c r="V180" s="39" t="inlineStr">
        <is>
          <t>https://legislature.idaho.gov/sessioninfo/2026/legislation/S1373/</t>
        </is>
      </c>
      <c r="W180" s="17">
        <f>IF(ISBLANK(V180),"","'&gt;")</f>
        <v/>
      </c>
      <c r="X180" s="12" t="inlineStr">
        <is>
          <t>Senate Bill 1373</t>
        </is>
      </c>
      <c r="Y180" s="17">
        <f>IF(ISBLANK(X180),"","&lt;/a&gt;")</f>
        <v/>
      </c>
      <c r="Z180" s="42">
        <f>IF(ISBLANK(X180),"",IF(OR(AB180="PASSED",ISBLANK(N180)),"&lt;/b&gt;","&lt;/i&gt;"))</f>
        <v/>
      </c>
      <c r="AA180" s="43">
        <f>IF(AB180="PASSED","&lt;b&gt;","")</f>
        <v/>
      </c>
      <c r="AB180" s="45" t="inlineStr">
        <is>
          <t>INTRODUCED</t>
        </is>
      </c>
      <c r="AC180" s="43">
        <f>IF(AB180="PASSED","&lt;/b&gt;","")</f>
        <v/>
      </c>
      <c r="AD180" s="43">
        <f>IF(ISBLANK(AE180),"","&lt;b&gt;")</f>
        <v/>
      </c>
      <c r="AE180" s="51" t="inlineStr">
        <is>
          <t>02/13</t>
        </is>
      </c>
      <c r="AF180" s="42">
        <f>IF(ISBLANK(AE180),"",": ")</f>
        <v/>
      </c>
      <c r="AG180" s="42" t="inlineStr">
        <is>
          <t>FY27 reduction (-5%)</t>
        </is>
      </c>
      <c r="AH180" s="42">
        <f>IF(ISBLANK(AE180),"","&lt;/b&gt;")</f>
        <v/>
      </c>
      <c r="AI180" s="42" t="n"/>
      <c r="AJ180" s="42">
        <f>IF(ISBLANK(AI180),"","&lt;br&gt;"&amp;AI180)</f>
        <v/>
      </c>
      <c r="AK180" s="4" t="inlineStr">
        <is>
          <t>&lt;br&gt;</t>
        </is>
      </c>
      <c r="AL180" s="42" t="inlineStr">
        <is>
          <t>&lt;b&gt;&lt;i&gt;</t>
        </is>
      </c>
      <c r="AM180" s="42" t="inlineStr">
        <is>
          <t>Governor's 3% + JFAC's 2%</t>
        </is>
      </c>
      <c r="AN180" s="42">
        <f>IF(ISBLANK(AM180),"","&lt;/i&gt;")</f>
        <v/>
      </c>
      <c r="AO180" s="35">
        <f>IF(ISBLANK(AQ180),"","&lt;/b&gt;&lt;br&gt;&lt;br&gt;")</f>
        <v/>
      </c>
      <c r="AP180" s="42">
        <f>IF(ISBLANK(AQ180),"","&lt;b&gt;")</f>
        <v/>
      </c>
      <c r="AQ180" s="47" t="inlineStr">
        <is>
          <t xml:space="preserve">Agency Reduction Plan:&lt;br&gt;Additional </t>
        </is>
      </c>
      <c r="AR180" s="42" t="n">
        <v>2</v>
      </c>
      <c r="AS180" s="4">
        <f>IF(ISBLANK(AR180),""," %")</f>
        <v/>
      </c>
      <c r="AT180" s="4">
        <f t="array" ref="AT180">_xlfn.IFS(NOT(ISBLANK(AU180))," (pgs. ",NOT(ISBLANK(AS180))," (pg. ", ISBLANK(AS180), "")</f>
        <v/>
      </c>
      <c r="AU180" s="52" t="inlineStr">
        <is>
          <t>NA</t>
        </is>
      </c>
      <c r="AV180" s="4">
        <f>IF(ISBLANK(AW180),"",", ")</f>
        <v/>
      </c>
      <c r="AW180" s="42" t="n"/>
      <c r="AX180" s="4">
        <f>IF(ISBLANK(AY180),"",",&lt;br&gt;")</f>
        <v/>
      </c>
      <c r="AY180" s="42" t="n"/>
      <c r="AZ180" s="49">
        <f>IF(ISBLANK(AU180),"",")&lt;/b&gt;")</f>
        <v/>
      </c>
      <c r="BA180" s="4">
        <f>IF(ISBLANK(BC180),"","&lt;br&gt;")</f>
        <v/>
      </c>
      <c r="BB180" s="42">
        <f t="array" ref="BB180">IF(ISBLANK(BC180),"",_xlfn.LET(
_xlpm.words,_xlfn.TEXTSPLIT(TRIM(BC180),"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80" s="50" t="n"/>
    </row>
    <row r="181">
      <c r="A181" s="20">
        <f>_xlfn.TEXTJOIN("", TRUE, F181:H181)</f>
        <v/>
      </c>
      <c r="B181" s="21">
        <f>_xlfn.TEXTJOIN("", TRUE, I181:S181)</f>
        <v/>
      </c>
      <c r="C181" s="21">
        <f>IF(ISBLANK(X181),"", _xlfn.TEXTJOIN("",TRUE,T181:Z181))</f>
        <v/>
      </c>
      <c r="D181" s="21">
        <f>IF(ISBLANK(AB181), "", _xlfn.TEXTJOIN("", TRUE, AA181:AC181))</f>
        <v/>
      </c>
      <c r="E181" s="22">
        <f>IF(AU181="NA", _xlfn.TEXTJOIN("", TRUE, AD181:AH181), _xlfn.TEXTJOIN("", TRUE, AD181:AJ181))</f>
        <v/>
      </c>
      <c r="F181" s="42">
        <f>IF(LEFT(G181,4)="FY26","&lt;b&gt;","&lt;i&gt;")</f>
        <v/>
      </c>
      <c r="G181" s="42" t="inlineStr">
        <is>
          <t>FY27 Maintenance</t>
        </is>
      </c>
      <c r="H181" s="42">
        <f>IF(LEFT(G181,4)="FY26","&lt;/b&gt;","&lt;/i&gt;")</f>
        <v/>
      </c>
      <c r="I181" s="43" t="inlineStr">
        <is>
          <t>&lt;i&gt;</t>
        </is>
      </c>
      <c r="J181" s="44" t="inlineStr">
        <is>
          <t>General Government</t>
        </is>
      </c>
      <c r="K181" s="44" t="inlineStr">
        <is>
          <t>&lt;/i&gt;</t>
        </is>
      </c>
      <c r="L181" s="42">
        <f>IF(ISBLANK(N181),"","&lt;br&gt;")</f>
        <v/>
      </c>
      <c r="M181" s="42">
        <f>IF(ISBLANK(R181),"&lt;b&gt;","&lt;i&gt;")</f>
        <v/>
      </c>
      <c r="N181" s="42" t="n"/>
      <c r="O181" s="42">
        <f>IF(ISBLANK(R181),"&lt;/b&gt;","&lt;/i&gt;")</f>
        <v/>
      </c>
      <c r="P181" s="4">
        <f>IF(ISBLANK(R181),"","&lt;br&gt;")</f>
        <v/>
      </c>
      <c r="Q181" s="42">
        <f>IF(ISBLANK(R181),"","&lt;b&gt;")</f>
        <v/>
      </c>
      <c r="R181" s="42" t="n"/>
      <c r="S181" s="42">
        <f>IF(ISBLANK(R181),"","&lt;/i&gt;")</f>
        <v/>
      </c>
      <c r="T181" s="43">
        <f>IF(ISBLANK(X181),"",IF(OR(AB181="PASSED",ISBLANK(N181)),"&lt;b&gt;","&lt;i&gt;"))</f>
        <v/>
      </c>
      <c r="U181" s="3">
        <f>IF(ISBLANK(V181),"","&lt;a href='")</f>
        <v/>
      </c>
      <c r="V181" s="13" t="inlineStr">
        <is>
          <t>https://legislature.idaho.gov/sessioninfo/rs/</t>
        </is>
      </c>
      <c r="W181" s="17">
        <f>IF(ISBLANK(V181),"","'&gt;")</f>
        <v/>
      </c>
      <c r="X181" s="12" t="inlineStr">
        <is>
          <t>General Government</t>
        </is>
      </c>
      <c r="Y181" s="17">
        <f>IF(ISBLANK(X181),"","&lt;/a&gt;")</f>
        <v/>
      </c>
      <c r="Z181" s="42">
        <f>IF(ISBLANK(X181),"",IF(OR(AB181="PASSED",ISBLANK(N181)),"&lt;/b&gt;","&lt;/i&gt;"))</f>
        <v/>
      </c>
      <c r="AA181" s="43">
        <f>IF(AB181="PASSED","&lt;b&gt;","")</f>
        <v/>
      </c>
      <c r="AB181" s="45" t="inlineStr">
        <is>
          <t>INTRODUCED</t>
        </is>
      </c>
      <c r="AC181" s="43">
        <f>IF(AB181="PASSED","&lt;/b&gt;","")</f>
        <v/>
      </c>
      <c r="AD181" s="43">
        <f>IF(ISBLANK(AE181),"","&lt;b&gt;")</f>
        <v/>
      </c>
      <c r="AE181" s="51" t="inlineStr">
        <is>
          <t>02/13</t>
        </is>
      </c>
      <c r="AF181" s="42">
        <f>IF(ISBLANK(AE181),"",": ")</f>
        <v/>
      </c>
      <c r="AG181" s="42" t="inlineStr">
        <is>
          <t>FY27 maintenance (-5%)</t>
        </is>
      </c>
      <c r="AH181" s="42">
        <f>IF(ISBLANK(AE181),"","&lt;/b&gt;")</f>
        <v/>
      </c>
      <c r="AI181" s="42" t="n"/>
      <c r="AJ181" s="42">
        <f>IF(ISBLANK(AI181),"","&lt;br&gt;"&amp;AI181)</f>
        <v/>
      </c>
      <c r="AK181" s="4" t="inlineStr">
        <is>
          <t>&lt;br&gt;</t>
        </is>
      </c>
      <c r="AL181" s="42" t="inlineStr">
        <is>
          <t>&lt;b&gt;&lt;i&gt;</t>
        </is>
      </c>
      <c r="AM181" s="42" t="inlineStr">
        <is>
          <t>Governor's 3% + JFAC's 2%</t>
        </is>
      </c>
      <c r="AN181" s="42">
        <f>IF(ISBLANK(AM181),"","&lt;/i&gt;")</f>
        <v/>
      </c>
      <c r="AO181" s="35">
        <f>IF(ISBLANK(AQ181),"","&lt;/b&gt;&lt;br&gt;&lt;br&gt;")</f>
        <v/>
      </c>
      <c r="AP181" s="42">
        <f>IF(ISBLANK(AQ181),"","&lt;b&gt;")</f>
        <v/>
      </c>
      <c r="AQ181" s="42" t="n"/>
      <c r="AR181" s="4" t="n"/>
      <c r="AS181" s="4">
        <f>IF(ISBLANK(AR181),""," %")</f>
        <v/>
      </c>
      <c r="AT181" s="4">
        <f t="array" ref="AT181">_xlfn.IFS(NOT(ISBLANK(AU181))," (pgs. ",NOT(ISBLANK(AS181))," (pg. ", ISBLANK(AS181), "")</f>
        <v/>
      </c>
      <c r="AU181" s="42" t="n"/>
      <c r="AV181" s="4">
        <f>IF(ISBLANK(AW181),"",", ")</f>
        <v/>
      </c>
      <c r="AW181" s="42" t="n"/>
      <c r="AX181" s="4">
        <f>IF(ISBLANK(AY181),"",",&lt;br&gt;")</f>
        <v/>
      </c>
      <c r="AY181" s="42" t="n"/>
      <c r="AZ181" s="49">
        <f>IF(ISBLANK(AU181),"",")&lt;/b&gt;")</f>
        <v/>
      </c>
      <c r="BA181" s="4">
        <f>IF(ISBLANK(BC181),"","&lt;br&gt;")</f>
        <v/>
      </c>
      <c r="BB181" s="42">
        <f t="array" ref="BB181">IF(ISBLANK(BC181),"",_xlfn.LET(
_xlpm.words,_xlfn.TEXTSPLIT(TRIM(BC181),"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81" s="50" t="n"/>
    </row>
    <row r="182">
      <c r="A182" s="20">
        <f>_xlfn.TEXTJOIN("", TRUE, F182:H182)</f>
        <v/>
      </c>
      <c r="B182" s="21">
        <f>_xlfn.TEXTJOIN("", TRUE, I182:S182)</f>
        <v/>
      </c>
      <c r="C182" s="21">
        <f>IF(ISBLANK(X182),"", _xlfn.TEXTJOIN("",TRUE,T182:Z182))</f>
        <v/>
      </c>
      <c r="D182" s="21">
        <f>IF(ISBLANK(AB182), "", _xlfn.TEXTJOIN("", TRUE, AA182:AC182))</f>
        <v/>
      </c>
      <c r="E182" s="22">
        <f>IF(AU182="NA", _xlfn.TEXTJOIN("", TRUE, AD182:AH182), _xlfn.TEXTJOIN("", TRUE, AD182:AJ182))</f>
        <v/>
      </c>
      <c r="F182" s="42">
        <f>IF(LEFT(G182,4)="FY26","&lt;b&gt;","&lt;i&gt;")</f>
        <v/>
      </c>
      <c r="G182" s="42" t="inlineStr">
        <is>
          <t>FY27 Maintenance</t>
        </is>
      </c>
      <c r="H182" s="42">
        <f>IF(LEFT(G182,4)="FY26","&lt;/b&gt;","&lt;/i&gt;")</f>
        <v/>
      </c>
      <c r="I182" s="43" t="inlineStr">
        <is>
          <t>&lt;i&gt;</t>
        </is>
      </c>
      <c r="J182" s="44" t="inlineStr">
        <is>
          <t>General Government</t>
        </is>
      </c>
      <c r="K182" s="44" t="inlineStr">
        <is>
          <t>&lt;/i&gt;</t>
        </is>
      </c>
      <c r="L182" s="4">
        <f>IF(ISBLANK(N182),"","&lt;br&gt;")</f>
        <v/>
      </c>
      <c r="M182" s="42">
        <f>IF(ISBLANK(R182),"&lt;b&gt;","&lt;i&gt;")</f>
        <v/>
      </c>
      <c r="N182" s="42" t="inlineStr">
        <is>
          <t>Dept. of Administration</t>
        </is>
      </c>
      <c r="O182" s="42">
        <f>IF(ISBLANK(R182),"&lt;/b&gt;","&lt;/i&gt;")</f>
        <v/>
      </c>
      <c r="P182" s="4">
        <f>IF(ISBLANK(R182),"","&lt;br&gt;")</f>
        <v/>
      </c>
      <c r="Q182" s="42">
        <f>IF(ISBLANK(R182),"","&lt;b&gt;")</f>
        <v/>
      </c>
      <c r="R182" s="42" t="n"/>
      <c r="S182" s="42">
        <f>IF(ISBLANK(R182),"","&lt;/i&gt;")</f>
        <v/>
      </c>
      <c r="T182" s="43">
        <f>IF(ISBLANK(X182),"",IF(OR(AB182="PASSED",ISBLANK(N182)),"&lt;b&gt;","&lt;i&gt;"))</f>
        <v/>
      </c>
      <c r="U182" s="3">
        <f>IF(ISBLANK(V182),"","&lt;a href='")</f>
        <v/>
      </c>
      <c r="V182" s="13" t="inlineStr">
        <is>
          <t>https://legislature.idaho.gov/sessioninfo/rs/</t>
        </is>
      </c>
      <c r="W182" s="17">
        <f>IF(ISBLANK(V182),"","'&gt;")</f>
        <v/>
      </c>
      <c r="X182" s="12" t="inlineStr">
        <is>
          <t>General Government</t>
        </is>
      </c>
      <c r="Y182" s="17">
        <f>IF(ISBLANK(X182),"","&lt;/a&gt;")</f>
        <v/>
      </c>
      <c r="Z182" s="42">
        <f>IF(ISBLANK(X182),"",IF(OR(AB182="PASSED",ISBLANK(N182)),"&lt;/b&gt;","&lt;/i&gt;"))</f>
        <v/>
      </c>
      <c r="AA182" s="43">
        <f>IF(AB182="PASSED","&lt;b&gt;","")</f>
        <v/>
      </c>
      <c r="AB182" s="45" t="inlineStr">
        <is>
          <t>INTRODUCED</t>
        </is>
      </c>
      <c r="AC182" s="43">
        <f>IF(AB182="PASSED","&lt;/b&gt;","")</f>
        <v/>
      </c>
      <c r="AD182" s="43">
        <f>IF(ISBLANK(AE182),"","&lt;b&gt;")</f>
        <v/>
      </c>
      <c r="AE182" s="51" t="inlineStr">
        <is>
          <t>02/13</t>
        </is>
      </c>
      <c r="AF182" s="42">
        <f>IF(ISBLANK(AE182),"",": ")</f>
        <v/>
      </c>
      <c r="AG182" s="42" t="inlineStr">
        <is>
          <t>FY27 reduction (-5%)</t>
        </is>
      </c>
      <c r="AH182" s="42">
        <f>IF(ISBLANK(AE182),"","&lt;/b&gt;")</f>
        <v/>
      </c>
      <c r="AI182" s="42" t="n"/>
      <c r="AJ182" s="42">
        <f>IF(ISBLANK(AI182),"","&lt;br&gt;"&amp;AI182)</f>
        <v/>
      </c>
      <c r="AK182" s="4" t="inlineStr">
        <is>
          <t>&lt;br&gt;</t>
        </is>
      </c>
      <c r="AL182" s="42" t="inlineStr">
        <is>
          <t>&lt;b&gt;&lt;i&gt;</t>
        </is>
      </c>
      <c r="AM182" s="42" t="inlineStr">
        <is>
          <t>Governor's 3% + JFAC's 2%</t>
        </is>
      </c>
      <c r="AN182" s="42">
        <f>IF(ISBLANK(AM182),"","&lt;/i&gt;")</f>
        <v/>
      </c>
      <c r="AO182" s="35">
        <f>IF(ISBLANK(AQ182),"","&lt;/b&gt;&lt;br&gt;&lt;br&gt;")</f>
        <v/>
      </c>
      <c r="AP182" s="42">
        <f>IF(ISBLANK(AQ182),"","&lt;b&gt;")</f>
        <v/>
      </c>
      <c r="AQ182" s="47" t="inlineStr">
        <is>
          <t xml:space="preserve">Agency Reduction Plan:&lt;br&gt;Additional </t>
        </is>
      </c>
      <c r="AR182" s="42" t="n">
        <v>2</v>
      </c>
      <c r="AS182" s="4">
        <f>IF(ISBLANK(AR182),""," %")</f>
        <v/>
      </c>
      <c r="AT182" s="4">
        <f t="array" ref="AT182">_xlfn.IFS(NOT(ISBLANK(AU182))," (pgs. ",NOT(ISBLANK(AS182))," (pg. ", ISBLANK(AS182), "")</f>
        <v/>
      </c>
      <c r="AU182" s="52" t="n">
        <v>192</v>
      </c>
      <c r="AV182" s="4">
        <f>IF(ISBLANK(AW182),"",", ")</f>
        <v/>
      </c>
      <c r="AW182" s="42" t="n"/>
      <c r="AX182" s="4">
        <f>IF(ISBLANK(AY182),"",",&lt;br&gt;")</f>
        <v/>
      </c>
      <c r="AY182" s="42" t="n"/>
      <c r="AZ182" s="49">
        <f>IF(ISBLANK(AU182),"",")&lt;/b&gt;")</f>
        <v/>
      </c>
      <c r="BA182" s="4">
        <f>IF(ISBLANK(BC182),"","&lt;br&gt;")</f>
        <v/>
      </c>
      <c r="BB182" s="42">
        <f t="array" ref="BB182">IF(ISBLANK(BC182),"",_xlfn.LET(
_xlpm.words,_xlfn.TEXTSPLIT(TRIM(BC182),"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82" s="50" t="inlineStr">
        <is>
          <t>Utilization of one time salary savings resulting from high turnover and vacancy rates, and the position identified for potential FY27 reduction.</t>
        </is>
      </c>
    </row>
    <row r="183">
      <c r="A183" s="20">
        <f>_xlfn.TEXTJOIN("", TRUE, F183:H183)</f>
        <v/>
      </c>
      <c r="B183" s="21">
        <f>_xlfn.TEXTJOIN("", TRUE, I183:S183)</f>
        <v/>
      </c>
      <c r="C183" s="21">
        <f>IF(ISBLANK(X183),"", _xlfn.TEXTJOIN("",TRUE,T183:Z183))</f>
        <v/>
      </c>
      <c r="D183" s="21">
        <f>IF(ISBLANK(AB183), "", _xlfn.TEXTJOIN("", TRUE, AA183:AC183))</f>
        <v/>
      </c>
      <c r="E183" s="22">
        <f>IF(AU183="NA", _xlfn.TEXTJOIN("", TRUE, AD183:AH183), _xlfn.TEXTJOIN("", TRUE, AD183:AJ183))</f>
        <v/>
      </c>
      <c r="F183" s="42">
        <f>IF(LEFT(G183,4)="FY26","&lt;b&gt;","&lt;i&gt;")</f>
        <v/>
      </c>
      <c r="G183" s="42" t="inlineStr">
        <is>
          <t>FY27 Maintenance</t>
        </is>
      </c>
      <c r="H183" s="42">
        <f>IF(LEFT(G183,4)="FY26","&lt;/b&gt;","&lt;/i&gt;")</f>
        <v/>
      </c>
      <c r="I183" s="43" t="inlineStr">
        <is>
          <t>&lt;i&gt;</t>
        </is>
      </c>
      <c r="J183" s="44" t="inlineStr">
        <is>
          <t>General Government</t>
        </is>
      </c>
      <c r="K183" s="44" t="inlineStr">
        <is>
          <t>&lt;/i&gt;</t>
        </is>
      </c>
      <c r="L183" s="4">
        <f>IF(ISBLANK(N183),"","&lt;br&gt;")</f>
        <v/>
      </c>
      <c r="M183" s="42">
        <f>IF(ISBLANK(R183),"&lt;b&gt;","&lt;i&gt;")</f>
        <v/>
      </c>
      <c r="N183" s="42" t="inlineStr">
        <is>
          <t>Dept. of Administration</t>
        </is>
      </c>
      <c r="O183" s="42">
        <f>IF(ISBLANK(R183),"&lt;/b&gt;","&lt;/i&gt;")</f>
        <v/>
      </c>
      <c r="P183" s="4">
        <f>IF(ISBLANK(R183),"","&lt;br&gt;")</f>
        <v/>
      </c>
      <c r="Q183" s="42">
        <f>IF(ISBLANK(R183),"","&lt;b&gt;")</f>
        <v/>
      </c>
      <c r="R183" s="42" t="inlineStr">
        <is>
          <t>Capitol Comm.</t>
        </is>
      </c>
      <c r="S183" s="42">
        <f>IF(ISBLANK(R183),"","&lt;/i&gt;")</f>
        <v/>
      </c>
      <c r="T183" s="43">
        <f>IF(ISBLANK(X183),"",IF(OR(AB183="PASSED",ISBLANK(N183)),"&lt;b&gt;","&lt;i&gt;"))</f>
        <v/>
      </c>
      <c r="U183" s="3">
        <f>IF(ISBLANK(V183),"","&lt;a href='")</f>
        <v/>
      </c>
      <c r="V183" s="13" t="inlineStr">
        <is>
          <t>https://legislature.idaho.gov/sessioninfo/rs/</t>
        </is>
      </c>
      <c r="W183" s="17">
        <f>IF(ISBLANK(V183),"","'&gt;")</f>
        <v/>
      </c>
      <c r="X183" s="12" t="inlineStr">
        <is>
          <t>General Government</t>
        </is>
      </c>
      <c r="Y183" s="17">
        <f>IF(ISBLANK(X183),"","&lt;/a&gt;")</f>
        <v/>
      </c>
      <c r="Z183" s="42">
        <f>IF(ISBLANK(X183),"",IF(OR(AB183="PASSED",ISBLANK(N183)),"&lt;/b&gt;","&lt;/i&gt;"))</f>
        <v/>
      </c>
      <c r="AA183" s="43">
        <f>IF(AB183="PASSED","&lt;b&gt;","")</f>
        <v/>
      </c>
      <c r="AB183" s="45" t="inlineStr">
        <is>
          <t>INTRODUCED</t>
        </is>
      </c>
      <c r="AC183" s="43">
        <f>IF(AB183="PASSED","&lt;/b&gt;","")</f>
        <v/>
      </c>
      <c r="AD183" s="43">
        <f>IF(ISBLANK(AE183),"","&lt;b&gt;")</f>
        <v/>
      </c>
      <c r="AE183" s="51" t="inlineStr">
        <is>
          <t>02/13</t>
        </is>
      </c>
      <c r="AF183" s="42">
        <f>IF(ISBLANK(AE183),"",": ")</f>
        <v/>
      </c>
      <c r="AG183" s="42" t="inlineStr">
        <is>
          <t>FY27 reduction (-5%)</t>
        </is>
      </c>
      <c r="AH183" s="42">
        <f>IF(ISBLANK(AE183),"","&lt;/b&gt;")</f>
        <v/>
      </c>
      <c r="AI183" s="42" t="n"/>
      <c r="AJ183" s="42">
        <f>IF(ISBLANK(AI183),"","&lt;br&gt;"&amp;AI183)</f>
        <v/>
      </c>
      <c r="AK183" s="4" t="inlineStr">
        <is>
          <t>&lt;br&gt;</t>
        </is>
      </c>
      <c r="AL183" s="42" t="inlineStr">
        <is>
          <t>&lt;b&gt;&lt;i&gt;</t>
        </is>
      </c>
      <c r="AM183" s="42" t="inlineStr">
        <is>
          <t>Governor's 3% + JFAC's 2%</t>
        </is>
      </c>
      <c r="AN183" s="42">
        <f>IF(ISBLANK(AM183),"","&lt;/i&gt;")</f>
        <v/>
      </c>
      <c r="AO183" s="35">
        <f>IF(ISBLANK(AQ183),"","&lt;/b&gt;&lt;br&gt;&lt;br&gt;")</f>
        <v/>
      </c>
      <c r="AP183" s="42">
        <f>IF(ISBLANK(AQ183),"","&lt;b&gt;")</f>
        <v/>
      </c>
      <c r="AQ183" s="47" t="inlineStr">
        <is>
          <t xml:space="preserve">Agency Reduction Plan:&lt;br&gt;Additional </t>
        </is>
      </c>
      <c r="AR183" s="42" t="n">
        <v>2</v>
      </c>
      <c r="AS183" s="4">
        <f>IF(ISBLANK(AR183),""," %")</f>
        <v/>
      </c>
      <c r="AT183" s="4">
        <f t="array" ref="AT183">_xlfn.IFS(NOT(ISBLANK(AU183))," (pgs. ",NOT(ISBLANK(AS183))," (pg. ", ISBLANK(AS183), "")</f>
        <v/>
      </c>
      <c r="AU183" s="48" t="inlineStr">
        <is>
          <t>NA</t>
        </is>
      </c>
      <c r="AV183" s="4">
        <f>IF(ISBLANK(AW183),"",", ")</f>
        <v/>
      </c>
      <c r="AW183" s="42" t="n"/>
      <c r="AX183" s="4">
        <f>IF(ISBLANK(AY183),"",",&lt;br&gt;")</f>
        <v/>
      </c>
      <c r="AY183" s="42" t="n"/>
      <c r="AZ183" s="49">
        <f>IF(ISBLANK(AU183),"",")&lt;/b&gt;")</f>
        <v/>
      </c>
      <c r="BA183" s="4">
        <f>IF(ISBLANK(BC183),"","&lt;br&gt;")</f>
        <v/>
      </c>
      <c r="BB183" s="42">
        <f t="array" ref="BB183">IF(ISBLANK(BC183),"",_xlfn.LET(
_xlpm.words,_xlfn.TEXTSPLIT(TRIM(BC183),"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83" s="50" t="n"/>
    </row>
    <row r="184">
      <c r="A184" s="20">
        <f>_xlfn.TEXTJOIN("", TRUE, F184:H184)</f>
        <v/>
      </c>
      <c r="B184" s="21">
        <f>_xlfn.TEXTJOIN("", TRUE, I184:S184)</f>
        <v/>
      </c>
      <c r="C184" s="21">
        <f>IF(ISBLANK(X184),"", _xlfn.TEXTJOIN("",TRUE,T184:Z184))</f>
        <v/>
      </c>
      <c r="D184" s="21">
        <f>IF(ISBLANK(AB184), "", _xlfn.TEXTJOIN("", TRUE, AA184:AC184))</f>
        <v/>
      </c>
      <c r="E184" s="22">
        <f>IF(AU184="NA", _xlfn.TEXTJOIN("", TRUE, AD184:AH184), _xlfn.TEXTJOIN("", TRUE, AD184:AJ184))</f>
        <v/>
      </c>
      <c r="F184" s="42">
        <f>IF(LEFT(G184,4)="FY26","&lt;b&gt;","&lt;i&gt;")</f>
        <v/>
      </c>
      <c r="G184" s="42" t="inlineStr">
        <is>
          <t>FY27 Maintenance</t>
        </is>
      </c>
      <c r="H184" s="42">
        <f>IF(LEFT(G184,4)="FY26","&lt;/b&gt;","&lt;/i&gt;")</f>
        <v/>
      </c>
      <c r="I184" s="43" t="inlineStr">
        <is>
          <t>&lt;i&gt;</t>
        </is>
      </c>
      <c r="J184" s="44" t="inlineStr">
        <is>
          <t>General Government</t>
        </is>
      </c>
      <c r="K184" s="44" t="inlineStr">
        <is>
          <t>&lt;/i&gt;</t>
        </is>
      </c>
      <c r="L184" s="4">
        <f>IF(ISBLANK(N184),"","&lt;br&gt;")</f>
        <v/>
      </c>
      <c r="M184" s="42">
        <f>IF(ISBLANK(R184),"&lt;b&gt;","&lt;i&gt;")</f>
        <v/>
      </c>
      <c r="N184" s="42" t="inlineStr">
        <is>
          <t>Dept. of Administration</t>
        </is>
      </c>
      <c r="O184" s="42">
        <f>IF(ISBLANK(R184),"&lt;/b&gt;","&lt;/i&gt;")</f>
        <v/>
      </c>
      <c r="P184" s="4">
        <f>IF(ISBLANK(R184),"","&lt;br&gt;")</f>
        <v/>
      </c>
      <c r="Q184" s="42">
        <f>IF(ISBLANK(R184),"","&lt;b&gt;")</f>
        <v/>
      </c>
      <c r="R184" s="42" t="inlineStr">
        <is>
          <t>Permanent Building Fund</t>
        </is>
      </c>
      <c r="S184" s="42">
        <f>IF(ISBLANK(R184),"","&lt;/i&gt;")</f>
        <v/>
      </c>
      <c r="T184" s="43">
        <f>IF(ISBLANK(X184),"",IF(OR(AB184="PASSED",ISBLANK(N184)),"&lt;b&gt;","&lt;i&gt;"))</f>
        <v/>
      </c>
      <c r="U184" s="3">
        <f>IF(ISBLANK(V184),"","&lt;a href='")</f>
        <v/>
      </c>
      <c r="V184" s="13" t="inlineStr">
        <is>
          <t>https://legislature.idaho.gov/sessioninfo/rs/</t>
        </is>
      </c>
      <c r="W184" s="17">
        <f>IF(ISBLANK(V184),"","'&gt;")</f>
        <v/>
      </c>
      <c r="X184" s="12" t="inlineStr">
        <is>
          <t>General Government</t>
        </is>
      </c>
      <c r="Y184" s="17">
        <f>IF(ISBLANK(X184),"","&lt;/a&gt;")</f>
        <v/>
      </c>
      <c r="Z184" s="42">
        <f>IF(ISBLANK(X184),"",IF(OR(AB184="PASSED",ISBLANK(N184)),"&lt;/b&gt;","&lt;/i&gt;"))</f>
        <v/>
      </c>
      <c r="AA184" s="43">
        <f>IF(AB184="PASSED","&lt;b&gt;","")</f>
        <v/>
      </c>
      <c r="AB184" s="45" t="inlineStr">
        <is>
          <t>INTRODUCED</t>
        </is>
      </c>
      <c r="AC184" s="43">
        <f>IF(AB184="PASSED","&lt;/b&gt;","")</f>
        <v/>
      </c>
      <c r="AD184" s="43">
        <f>IF(ISBLANK(AE184),"","&lt;b&gt;")</f>
        <v/>
      </c>
      <c r="AE184" s="51" t="inlineStr">
        <is>
          <t>02/13</t>
        </is>
      </c>
      <c r="AF184" s="42">
        <f>IF(ISBLANK(AE184),"",": ")</f>
        <v/>
      </c>
      <c r="AG184" s="42" t="inlineStr">
        <is>
          <t>FY27 reduction (-5%)</t>
        </is>
      </c>
      <c r="AH184" s="42">
        <f>IF(ISBLANK(AE184),"","&lt;/b&gt;")</f>
        <v/>
      </c>
      <c r="AI184" s="42" t="n"/>
      <c r="AJ184" s="42">
        <f>IF(ISBLANK(AI184),"","&lt;br&gt;"&amp;AI184)</f>
        <v/>
      </c>
      <c r="AK184" s="4" t="inlineStr">
        <is>
          <t>&lt;br&gt;</t>
        </is>
      </c>
      <c r="AL184" s="42" t="inlineStr">
        <is>
          <t>&lt;b&gt;&lt;i&gt;</t>
        </is>
      </c>
      <c r="AM184" s="42" t="inlineStr">
        <is>
          <t>Governor's 3% + JFAC's 2%</t>
        </is>
      </c>
      <c r="AN184" s="42">
        <f>IF(ISBLANK(AM184),"","&lt;/i&gt;")</f>
        <v/>
      </c>
      <c r="AO184" s="35">
        <f>IF(ISBLANK(AQ184),"","&lt;/b&gt;&lt;br&gt;&lt;br&gt;")</f>
        <v/>
      </c>
      <c r="AP184" s="42">
        <f>IF(ISBLANK(AQ184),"","&lt;b&gt;")</f>
        <v/>
      </c>
      <c r="AQ184" s="47" t="inlineStr">
        <is>
          <t xml:space="preserve">Agency Reduction Plan:&lt;br&gt;Additional </t>
        </is>
      </c>
      <c r="AR184" s="42" t="n">
        <v>2</v>
      </c>
      <c r="AS184" s="4">
        <f>IF(ISBLANK(AR184),""," %")</f>
        <v/>
      </c>
      <c r="AT184" s="4">
        <f t="array" ref="AT184">_xlfn.IFS(NOT(ISBLANK(AU184))," (pgs. ",NOT(ISBLANK(AS184))," (pg. ", ISBLANK(AS184), "")</f>
        <v/>
      </c>
      <c r="AU184" s="52" t="inlineStr">
        <is>
          <t>NA</t>
        </is>
      </c>
      <c r="AV184" s="4">
        <f>IF(ISBLANK(AW184),"",", ")</f>
        <v/>
      </c>
      <c r="AW184" s="42" t="n"/>
      <c r="AX184" s="4">
        <f>IF(ISBLANK(AY184),"",",&lt;br&gt;")</f>
        <v/>
      </c>
      <c r="AY184" s="42" t="n"/>
      <c r="AZ184" s="49">
        <f>IF(ISBLANK(AU184),"",")&lt;/b&gt;")</f>
        <v/>
      </c>
      <c r="BA184" s="4">
        <f>IF(ISBLANK(BC184),"","&lt;br&gt;")</f>
        <v/>
      </c>
      <c r="BB184" s="42">
        <f t="array" ref="BB184">IF(ISBLANK(BC184),"",_xlfn.LET(
_xlpm.words,_xlfn.TEXTSPLIT(TRIM(BC184),"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84" s="50" t="n"/>
    </row>
    <row r="185">
      <c r="A185" s="20">
        <f>_xlfn.TEXTJOIN("", TRUE, F185:H185)</f>
        <v/>
      </c>
      <c r="B185" s="21">
        <f>_xlfn.TEXTJOIN("", TRUE, I185:S185)</f>
        <v/>
      </c>
      <c r="C185" s="21">
        <f>IF(ISBLANK(X185),"", _xlfn.TEXTJOIN("",TRUE,T185:Z185))</f>
        <v/>
      </c>
      <c r="D185" s="21">
        <f>IF(ISBLANK(AB185), "", _xlfn.TEXTJOIN("", TRUE, AA185:AC185))</f>
        <v/>
      </c>
      <c r="E185" s="22">
        <f>IF(AU185="NA", _xlfn.TEXTJOIN("", TRUE, AD185:AH185), _xlfn.TEXTJOIN("", TRUE, AD185:AJ185))</f>
        <v/>
      </c>
      <c r="F185" s="42">
        <f>IF(LEFT(G185,4)="FY26","&lt;b&gt;","&lt;i&gt;")</f>
        <v/>
      </c>
      <c r="G185" s="42" t="inlineStr">
        <is>
          <t>FY27 Maintenance</t>
        </is>
      </c>
      <c r="H185" s="42">
        <f>IF(LEFT(G185,4)="FY26","&lt;/b&gt;","&lt;/i&gt;")</f>
        <v/>
      </c>
      <c r="I185" s="43" t="inlineStr">
        <is>
          <t>&lt;i&gt;</t>
        </is>
      </c>
      <c r="J185" s="44" t="inlineStr">
        <is>
          <t>General Government</t>
        </is>
      </c>
      <c r="K185" s="44" t="inlineStr">
        <is>
          <t>&lt;/i&gt;</t>
        </is>
      </c>
      <c r="L185" s="4">
        <f>IF(ISBLANK(N185),"","&lt;br&gt;")</f>
        <v/>
      </c>
      <c r="M185" s="42">
        <f>IF(ISBLANK(R185),"&lt;b&gt;","&lt;i&gt;")</f>
        <v/>
      </c>
      <c r="N185" s="42" t="inlineStr">
        <is>
          <t>Dept. of Revenue &amp; Taxation</t>
        </is>
      </c>
      <c r="O185" s="42">
        <f>IF(ISBLANK(R185),"&lt;/b&gt;","&lt;/i&gt;")</f>
        <v/>
      </c>
      <c r="P185" s="4">
        <f>IF(ISBLANK(R185),"","&lt;br&gt;")</f>
        <v/>
      </c>
      <c r="Q185" s="42">
        <f>IF(ISBLANK(R185),"","&lt;b&gt;")</f>
        <v/>
      </c>
      <c r="R185" s="42" t="inlineStr">
        <is>
          <t>Board of Tax Appeals</t>
        </is>
      </c>
      <c r="S185" s="42">
        <f>IF(ISBLANK(R185),"","&lt;/i&gt;")</f>
        <v/>
      </c>
      <c r="T185" s="43">
        <f>IF(ISBLANK(X185),"",IF(OR(AB185="PASSED",ISBLANK(N185)),"&lt;b&gt;","&lt;i&gt;"))</f>
        <v/>
      </c>
      <c r="U185" s="3">
        <f>IF(ISBLANK(V185),"","&lt;a href='")</f>
        <v/>
      </c>
      <c r="V185" s="13" t="inlineStr">
        <is>
          <t>https://legislature.idaho.gov/sessioninfo/rs/</t>
        </is>
      </c>
      <c r="W185" s="17">
        <f>IF(ISBLANK(V185),"","'&gt;")</f>
        <v/>
      </c>
      <c r="X185" s="12" t="inlineStr">
        <is>
          <t>General Government</t>
        </is>
      </c>
      <c r="Y185" s="17">
        <f>IF(ISBLANK(X185),"","&lt;/a&gt;")</f>
        <v/>
      </c>
      <c r="Z185" s="42">
        <f>IF(ISBLANK(X185),"",IF(OR(AB185="PASSED",ISBLANK(N185)),"&lt;/b&gt;","&lt;/i&gt;"))</f>
        <v/>
      </c>
      <c r="AA185" s="43">
        <f>IF(AB185="PASSED","&lt;b&gt;","")</f>
        <v/>
      </c>
      <c r="AB185" s="45" t="inlineStr">
        <is>
          <t>INTRODUCED</t>
        </is>
      </c>
      <c r="AC185" s="43">
        <f>IF(AB185="PASSED","&lt;/b&gt;","")</f>
        <v/>
      </c>
      <c r="AD185" s="43">
        <f>IF(ISBLANK(AE185),"","&lt;b&gt;")</f>
        <v/>
      </c>
      <c r="AE185" s="51" t="inlineStr">
        <is>
          <t>02/13</t>
        </is>
      </c>
      <c r="AF185" s="42">
        <f>IF(ISBLANK(AE185),"",": ")</f>
        <v/>
      </c>
      <c r="AG185" s="42" t="inlineStr">
        <is>
          <t>FY27 reduction (-5%)</t>
        </is>
      </c>
      <c r="AH185" s="42">
        <f>IF(ISBLANK(AE185),"","&lt;/b&gt;")</f>
        <v/>
      </c>
      <c r="AI185" s="42" t="n"/>
      <c r="AJ185" s="42">
        <f>IF(ISBLANK(AI185),"","&lt;br&gt;"&amp;AI185)</f>
        <v/>
      </c>
      <c r="AK185" s="4" t="inlineStr">
        <is>
          <t>&lt;br&gt;</t>
        </is>
      </c>
      <c r="AL185" s="42" t="inlineStr">
        <is>
          <t>&lt;b&gt;&lt;i&gt;</t>
        </is>
      </c>
      <c r="AM185" s="42" t="inlineStr">
        <is>
          <t>Governor's 3% + JFAC's 2%</t>
        </is>
      </c>
      <c r="AN185" s="42">
        <f>IF(ISBLANK(AM185),"","&lt;/i&gt;")</f>
        <v/>
      </c>
      <c r="AO185" s="35">
        <f>IF(ISBLANK(AQ185),"","&lt;/b&gt;&lt;br&gt;&lt;br&gt;")</f>
        <v/>
      </c>
      <c r="AP185" s="42">
        <f>IF(ISBLANK(AQ185),"","&lt;b&gt;")</f>
        <v/>
      </c>
      <c r="AQ185" s="47" t="inlineStr">
        <is>
          <t xml:space="preserve">Agency Reduction Plan:&lt;br&gt;Additional </t>
        </is>
      </c>
      <c r="AR185" s="42" t="n">
        <v>2</v>
      </c>
      <c r="AS185" s="4">
        <f>IF(ISBLANK(AR185),""," %")</f>
        <v/>
      </c>
      <c r="AT185" s="4">
        <f t="array" ref="AT185">_xlfn.IFS(NOT(ISBLANK(AU185))," (pgs. ",NOT(ISBLANK(AS185))," (pg. ", ISBLANK(AS185), "")</f>
        <v/>
      </c>
      <c r="AU185" s="52" t="n">
        <v>232</v>
      </c>
      <c r="AV185" s="4">
        <f>IF(ISBLANK(AW185),"",", ")</f>
        <v/>
      </c>
      <c r="AW185" s="42" t="n"/>
      <c r="AX185" s="4">
        <f>IF(ISBLANK(AY185),"",",&lt;br&gt;")</f>
        <v/>
      </c>
      <c r="AY185" s="42" t="n"/>
      <c r="AZ185" s="49">
        <f>IF(ISBLANK(AU185),"",")&lt;/b&gt;")</f>
        <v/>
      </c>
      <c r="BA185" s="4">
        <f>IF(ISBLANK(BC185),"","&lt;br&gt;")</f>
        <v/>
      </c>
      <c r="BB185" s="42">
        <f t="array" ref="BB185">IF(ISBLANK(BC185),"",_xlfn.LET(
_xlpm.words,_xlfn.TEXTSPLIT(TRIM(BC185),"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85" s="50" t="inlineStr">
        <is>
          <t>The reductions will be applied against operating expenses, with a focus on funds typically reserved for temporary staffing needs. Temporary staffing is utilized during peak periods of appeal activity to support increased workload demands. A reduced operating budget would undoubtedly limit the agency's ability to obtain temporary staffing and may prevent it altogether. The practical effect would be delays in processing tax appeals and moving them through the appeals process, from docketing the appeals when they arrive, to issuing the final decisions. Importantly, the reductions could cause the agency to fail its statutory obligation under I.C. § 63-3809(4) to issue all final decisions in ad valorem appeals by May 1 of each year, which would be disruptive to county assessors setting property values for the next tax year while they await the BTA's final decision.</t>
        </is>
      </c>
    </row>
    <row r="186">
      <c r="A186" s="20">
        <f>_xlfn.TEXTJOIN("", TRUE, F186:H186)</f>
        <v/>
      </c>
      <c r="B186" s="21">
        <f>_xlfn.TEXTJOIN("", TRUE, I186:S186)</f>
        <v/>
      </c>
      <c r="C186" s="21">
        <f>IF(ISBLANK(X186),"", _xlfn.TEXTJOIN("",TRUE,T186:Z186))</f>
        <v/>
      </c>
      <c r="D186" s="21">
        <f>IF(ISBLANK(AB186), "", _xlfn.TEXTJOIN("", TRUE, AA186:AC186))</f>
        <v/>
      </c>
      <c r="E186" s="22">
        <f>IF(AU186="NA", _xlfn.TEXTJOIN("", TRUE, AD186:AH186), _xlfn.TEXTJOIN("", TRUE, AD186:AJ186))</f>
        <v/>
      </c>
      <c r="F186" s="42">
        <f>IF(LEFT(G186,4)="FY26","&lt;b&gt;","&lt;i&gt;")</f>
        <v/>
      </c>
      <c r="G186" s="42" t="inlineStr">
        <is>
          <t>FY27 Maintenance</t>
        </is>
      </c>
      <c r="H186" s="42">
        <f>IF(LEFT(G186,4)="FY26","&lt;/b&gt;","&lt;/i&gt;")</f>
        <v/>
      </c>
      <c r="I186" s="43" t="inlineStr">
        <is>
          <t>&lt;i&gt;</t>
        </is>
      </c>
      <c r="J186" s="44" t="inlineStr">
        <is>
          <t>General Government</t>
        </is>
      </c>
      <c r="K186" s="44" t="inlineStr">
        <is>
          <t>&lt;/i&gt;</t>
        </is>
      </c>
      <c r="L186" s="4">
        <f>IF(ISBLANK(N186),"","&lt;br&gt;")</f>
        <v/>
      </c>
      <c r="M186" s="42">
        <f>IF(ISBLANK(R186),"&lt;b&gt;","&lt;i&gt;")</f>
        <v/>
      </c>
      <c r="N186" s="42" t="inlineStr">
        <is>
          <t>Dept. of Revenue &amp; Taxation</t>
        </is>
      </c>
      <c r="O186" s="42">
        <f>IF(ISBLANK(R186),"&lt;/b&gt;","&lt;/i&gt;")</f>
        <v/>
      </c>
      <c r="P186" s="4">
        <f>IF(ISBLANK(R186),"","&lt;br&gt;")</f>
        <v/>
      </c>
      <c r="Q186" s="42">
        <f>IF(ISBLANK(R186),"","&lt;b&gt;")</f>
        <v/>
      </c>
      <c r="R186" s="42" t="inlineStr">
        <is>
          <t>State Tax Comm.</t>
        </is>
      </c>
      <c r="S186" s="42">
        <f>IF(ISBLANK(R186),"","&lt;/i&gt;")</f>
        <v/>
      </c>
      <c r="T186" s="43">
        <f>IF(ISBLANK(X186),"",IF(OR(AB186="PASSED",ISBLANK(N186)),"&lt;b&gt;","&lt;i&gt;"))</f>
        <v/>
      </c>
      <c r="U186" s="3">
        <f>IF(ISBLANK(V186),"","&lt;a href='")</f>
        <v/>
      </c>
      <c r="V186" s="13" t="inlineStr">
        <is>
          <t>https://legislature.idaho.gov/sessioninfo/rs/</t>
        </is>
      </c>
      <c r="W186" s="17">
        <f>IF(ISBLANK(V186),"","'&gt;")</f>
        <v/>
      </c>
      <c r="X186" s="12" t="inlineStr">
        <is>
          <t>General Government</t>
        </is>
      </c>
      <c r="Y186" s="17">
        <f>IF(ISBLANK(X186),"","&lt;/a&gt;")</f>
        <v/>
      </c>
      <c r="Z186" s="42">
        <f>IF(ISBLANK(X186),"",IF(OR(AB186="PASSED",ISBLANK(N186)),"&lt;/b&gt;","&lt;/i&gt;"))</f>
        <v/>
      </c>
      <c r="AA186" s="43">
        <f>IF(AB186="PASSED","&lt;b&gt;","")</f>
        <v/>
      </c>
      <c r="AB186" s="45" t="inlineStr">
        <is>
          <t>INTRODUCED</t>
        </is>
      </c>
      <c r="AC186" s="43">
        <f>IF(AB186="PASSED","&lt;/b&gt;","")</f>
        <v/>
      </c>
      <c r="AD186" s="43">
        <f>IF(ISBLANK(AE186),"","&lt;b&gt;")</f>
        <v/>
      </c>
      <c r="AE186" s="51" t="inlineStr">
        <is>
          <t>02/13</t>
        </is>
      </c>
      <c r="AF186" s="42">
        <f>IF(ISBLANK(AE186),"",": ")</f>
        <v/>
      </c>
      <c r="AG186" s="42" t="inlineStr">
        <is>
          <t>FY27 reduction (-5%)</t>
        </is>
      </c>
      <c r="AH186" s="42">
        <f>IF(ISBLANK(AE186),"","&lt;/b&gt;")</f>
        <v/>
      </c>
      <c r="AI186" s="42" t="n"/>
      <c r="AJ186" s="42">
        <f>IF(ISBLANK(AI186),"","&lt;br&gt;"&amp;AI186)</f>
        <v/>
      </c>
      <c r="AK186" s="4" t="inlineStr">
        <is>
          <t>&lt;br&gt;</t>
        </is>
      </c>
      <c r="AL186" s="42" t="inlineStr">
        <is>
          <t>&lt;b&gt;&lt;i&gt;</t>
        </is>
      </c>
      <c r="AM186" s="42" t="inlineStr">
        <is>
          <t>Governor's 3% + JFAC's 2%</t>
        </is>
      </c>
      <c r="AN186" s="42">
        <f>IF(ISBLANK(AM186),"","&lt;/i&gt;")</f>
        <v/>
      </c>
      <c r="AO186" s="35">
        <f>IF(ISBLANK(AQ186),"","&lt;/b&gt;&lt;br&gt;&lt;br&gt;")</f>
        <v/>
      </c>
      <c r="AP186" s="42">
        <f>IF(ISBLANK(AQ186),"","&lt;b&gt;")</f>
        <v/>
      </c>
      <c r="AQ186" s="47" t="inlineStr">
        <is>
          <t xml:space="preserve">Agency Reduction Plan:&lt;br&gt;Additional </t>
        </is>
      </c>
      <c r="AR186" s="42" t="n">
        <v>2</v>
      </c>
      <c r="AS186" s="4">
        <f>IF(ISBLANK(AR186),""," %")</f>
        <v/>
      </c>
      <c r="AT186" s="4">
        <f t="array" ref="AT186">_xlfn.IFS(NOT(ISBLANK(AU186))," (pgs. ",NOT(ISBLANK(AS186))," (pg. ", ISBLANK(AS186), "")</f>
        <v/>
      </c>
      <c r="AU186" s="52" t="n">
        <v>233</v>
      </c>
      <c r="AV186" s="4">
        <f>IF(ISBLANK(AW186),"",", ")</f>
        <v/>
      </c>
      <c r="AW186" s="42" t="n"/>
      <c r="AX186" s="4">
        <f>IF(ISBLANK(AY186),"",",&lt;br&gt;")</f>
        <v/>
      </c>
      <c r="AY186" s="42" t="n"/>
      <c r="AZ186" s="49">
        <f>IF(ISBLANK(AU186),"",")&lt;/b&gt;")</f>
        <v/>
      </c>
      <c r="BA186" s="4">
        <f>IF(ISBLANK(BC186),"","&lt;br&gt;")</f>
        <v/>
      </c>
      <c r="BB186" s="42">
        <f t="array" ref="BB186">IF(ISBLANK(BC186),"",_xlfn.LET(
_xlpm.words,_xlfn.TEXTSPLIT(TRIM(BC186),"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86" s="50" t="inlineStr">
        <is>
          <t>For FY27, if we truly want to make material reductions to our budget, that limits our options to cutting personnel and programs that are responsible for tax collection activities. To evaluate these ongoing recommendations, please note that the Tax Commission collects roughly $26.9 million in revenue per day. The tax season temporary workforce option will lead to an increase in tax return processing time by 18 to 24 weeks and increase the time to send refunds by 6 weeks, which is estimated to result in up to $7 million dollars being paid out in refund interest. It will also reduce the level of service that can be provided to taxpayers, which means longer processing times for essentials like business permits and refunds. The elimination of Fast Collection Services will reduce revenue to the General Fund by roughly $20-$50 million.</t>
        </is>
      </c>
    </row>
    <row r="187">
      <c r="A187" s="20">
        <f>_xlfn.TEXTJOIN("", TRUE, F187:H187)</f>
        <v/>
      </c>
      <c r="B187" s="21">
        <f>_xlfn.TEXTJOIN("", TRUE, I187:S187)</f>
        <v/>
      </c>
      <c r="C187" s="21">
        <f>IF(ISBLANK(X187),"", _xlfn.TEXTJOIN("",TRUE,T187:Z187))</f>
        <v/>
      </c>
      <c r="D187" s="21">
        <f>IF(ISBLANK(AB187), "", _xlfn.TEXTJOIN("", TRUE, AA187:AC187))</f>
        <v/>
      </c>
      <c r="E187" s="22">
        <f>IF(AU187="NA", _xlfn.TEXTJOIN("", TRUE, AD187:AH187), _xlfn.TEXTJOIN("", TRUE, AD187:AJ187))</f>
        <v/>
      </c>
      <c r="F187" s="42">
        <f>IF(LEFT(G187,4)="FY26","&lt;b&gt;","&lt;i&gt;")</f>
        <v/>
      </c>
      <c r="G187" s="42" t="inlineStr">
        <is>
          <t>FY27 Maintenance</t>
        </is>
      </c>
      <c r="H187" s="42">
        <f>IF(LEFT(G187,4)="FY26","&lt;/b&gt;","&lt;/i&gt;")</f>
        <v/>
      </c>
      <c r="I187" s="43" t="inlineStr">
        <is>
          <t>&lt;i&gt;</t>
        </is>
      </c>
      <c r="J187" s="44" t="inlineStr">
        <is>
          <t>General Government</t>
        </is>
      </c>
      <c r="K187" s="44" t="inlineStr">
        <is>
          <t>&lt;/i&gt;</t>
        </is>
      </c>
      <c r="L187" s="4">
        <f>IF(ISBLANK(N187),"","&lt;br&gt;")</f>
        <v/>
      </c>
      <c r="M187" s="42">
        <f>IF(ISBLANK(R187),"&lt;b&gt;","&lt;i&gt;")</f>
        <v/>
      </c>
      <c r="N187" s="42" t="inlineStr">
        <is>
          <t>Office of the Governor</t>
        </is>
      </c>
      <c r="O187" s="42">
        <f>IF(ISBLANK(R187),"&lt;/b&gt;","&lt;/i&gt;")</f>
        <v/>
      </c>
      <c r="P187" s="4">
        <f>IF(ISBLANK(R187),"","&lt;br&gt;")</f>
        <v/>
      </c>
      <c r="Q187" s="42">
        <f>IF(ISBLANK(R187),"","&lt;b&gt;")</f>
        <v/>
      </c>
      <c r="R187" s="42" t="inlineStr">
        <is>
          <t>Comm. for the Blind &amp; Visually Impaired</t>
        </is>
      </c>
      <c r="S187" s="42">
        <f>IF(ISBLANK(R187),"","&lt;/i&gt;")</f>
        <v/>
      </c>
      <c r="T187" s="43">
        <f>IF(ISBLANK(X187),"",IF(OR(AB187="PASSED",ISBLANK(N187)),"&lt;b&gt;","&lt;i&gt;"))</f>
        <v/>
      </c>
      <c r="U187" s="3">
        <f>IF(ISBLANK(V187),"","&lt;a href='")</f>
        <v/>
      </c>
      <c r="V187" s="13" t="inlineStr">
        <is>
          <t>https://legislature.idaho.gov/sessioninfo/rs/</t>
        </is>
      </c>
      <c r="W187" s="17">
        <f>IF(ISBLANK(V187),"","'&gt;")</f>
        <v/>
      </c>
      <c r="X187" s="12" t="inlineStr">
        <is>
          <t>General Government</t>
        </is>
      </c>
      <c r="Y187" s="17">
        <f>IF(ISBLANK(X187),"","&lt;/a&gt;")</f>
        <v/>
      </c>
      <c r="Z187" s="42">
        <f>IF(ISBLANK(X187),"",IF(OR(AB187="PASSED",ISBLANK(N187)),"&lt;/b&gt;","&lt;/i&gt;"))</f>
        <v/>
      </c>
      <c r="AA187" s="43">
        <f>IF(AB187="PASSED","&lt;b&gt;","")</f>
        <v/>
      </c>
      <c r="AB187" s="45" t="inlineStr">
        <is>
          <t>INTRODUCED</t>
        </is>
      </c>
      <c r="AC187" s="43">
        <f>IF(AB187="PASSED","&lt;/b&gt;","")</f>
        <v/>
      </c>
      <c r="AD187" s="43">
        <f>IF(ISBLANK(AE187),"","&lt;b&gt;")</f>
        <v/>
      </c>
      <c r="AE187" s="51" t="inlineStr">
        <is>
          <t>02/13</t>
        </is>
      </c>
      <c r="AF187" s="42">
        <f>IF(ISBLANK(AE187),"",": ")</f>
        <v/>
      </c>
      <c r="AG187" s="42" t="inlineStr">
        <is>
          <t>FY27 reduction (-5%)</t>
        </is>
      </c>
      <c r="AH187" s="42">
        <f>IF(ISBLANK(AE187),"","&lt;/b&gt;")</f>
        <v/>
      </c>
      <c r="AI187" s="42" t="n"/>
      <c r="AJ187" s="42">
        <f>IF(ISBLANK(AI187),"","&lt;br&gt;"&amp;AI187)</f>
        <v/>
      </c>
      <c r="AK187" s="4" t="inlineStr">
        <is>
          <t>&lt;br&gt;</t>
        </is>
      </c>
      <c r="AL187" s="42" t="inlineStr">
        <is>
          <t>&lt;b&gt;&lt;i&gt;</t>
        </is>
      </c>
      <c r="AM187" s="42" t="inlineStr">
        <is>
          <t>Governor's 3% + JFAC's 2%</t>
        </is>
      </c>
      <c r="AN187" s="42">
        <f>IF(ISBLANK(AM187),"","&lt;/i&gt;")</f>
        <v/>
      </c>
      <c r="AO187" s="35">
        <f>IF(ISBLANK(AQ187),"","&lt;/b&gt;&lt;br&gt;&lt;br&gt;")</f>
        <v/>
      </c>
      <c r="AP187" s="42">
        <f>IF(ISBLANK(AQ187),"","&lt;b&gt;")</f>
        <v/>
      </c>
      <c r="AQ187" s="47" t="inlineStr">
        <is>
          <t xml:space="preserve">Agency Reduction Plan:&lt;br&gt;Additional </t>
        </is>
      </c>
      <c r="AR187" s="42" t="n">
        <v>2</v>
      </c>
      <c r="AS187" s="4">
        <f>IF(ISBLANK(AR187),""," %")</f>
        <v/>
      </c>
      <c r="AT187" s="4">
        <f t="array" ref="AT187">_xlfn.IFS(NOT(ISBLANK(AU187))," (pgs. ",NOT(ISBLANK(AS187))," (pg. ", ISBLANK(AS187), "")</f>
        <v/>
      </c>
      <c r="AU187" s="52" t="n">
        <v>202</v>
      </c>
      <c r="AV187" s="4">
        <f>IF(ISBLANK(AW187),"",", ")</f>
        <v/>
      </c>
      <c r="AW187" s="42" t="n"/>
      <c r="AX187" s="4">
        <f>IF(ISBLANK(AY187),"",",&lt;br&gt;")</f>
        <v/>
      </c>
      <c r="AY187" s="42" t="n"/>
      <c r="AZ187" s="49">
        <f>IF(ISBLANK(AU187),"",")&lt;/b&gt;")</f>
        <v/>
      </c>
      <c r="BA187" s="4">
        <f>IF(ISBLANK(BC187),"","&lt;br&gt;")</f>
        <v/>
      </c>
      <c r="BB187" s="42">
        <f t="array" ref="BB187">IF(ISBLANK(BC187),"",_xlfn.LET(
_xlpm.words,_xlfn.TEXTSPLIT(TRIM(BC187),"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87" s="50" t="inlineStr">
        <is>
          <t>No RIFs or furloughs are anticipated under either scenario. We will hold vacant positions, attempt to reduce temp/contracted services, and prioritize discretionary training.FY27: Core client services impacted include and reduction in number of participants served in Sight Restoration (SR) and a reduction in services provided for Vocational Rehabilitation (VR) clients. With a 2% reduction we would have a reduction in travel to regional offices for in-person oversight, training, and guidance.</t>
        </is>
      </c>
    </row>
    <row r="188">
      <c r="A188" s="20">
        <f>_xlfn.TEXTJOIN("", TRUE, F188:H188)</f>
        <v/>
      </c>
      <c r="B188" s="21">
        <f>_xlfn.TEXTJOIN("", TRUE, I188:S188)</f>
        <v/>
      </c>
      <c r="C188" s="21">
        <f>IF(ISBLANK(X188),"", _xlfn.TEXTJOIN("",TRUE,T188:Z188))</f>
        <v/>
      </c>
      <c r="D188" s="21">
        <f>IF(ISBLANK(AB188), "", _xlfn.TEXTJOIN("", TRUE, AA188:AC188))</f>
        <v/>
      </c>
      <c r="E188" s="22">
        <f>IF(AU188="NA", _xlfn.TEXTJOIN("", TRUE, AD188:AH188), _xlfn.TEXTJOIN("", TRUE, AD188:AJ188))</f>
        <v/>
      </c>
      <c r="F188" s="42">
        <f>IF(LEFT(G188,4)="FY26","&lt;b&gt;","&lt;i&gt;")</f>
        <v/>
      </c>
      <c r="G188" s="42" t="inlineStr">
        <is>
          <t>FY27 Maintenance</t>
        </is>
      </c>
      <c r="H188" s="42">
        <f>IF(LEFT(G188,4)="FY26","&lt;/b&gt;","&lt;/i&gt;")</f>
        <v/>
      </c>
      <c r="I188" s="43" t="inlineStr">
        <is>
          <t>&lt;i&gt;</t>
        </is>
      </c>
      <c r="J188" s="44" t="inlineStr">
        <is>
          <t>General Government</t>
        </is>
      </c>
      <c r="K188" s="44" t="inlineStr">
        <is>
          <t>&lt;/i&gt;</t>
        </is>
      </c>
      <c r="L188" s="4">
        <f>IF(ISBLANK(N188),"","&lt;br&gt;")</f>
        <v/>
      </c>
      <c r="M188" s="42">
        <f>IF(ISBLANK(R188),"&lt;b&gt;","&lt;i&gt;")</f>
        <v/>
      </c>
      <c r="N188" s="42" t="inlineStr">
        <is>
          <t>Office of the Governor</t>
        </is>
      </c>
      <c r="O188" s="42">
        <f>IF(ISBLANK(R188),"&lt;/b&gt;","&lt;/i&gt;")</f>
        <v/>
      </c>
      <c r="P188" s="4">
        <f>IF(ISBLANK(R188),"","&lt;br&gt;")</f>
        <v/>
      </c>
      <c r="Q188" s="42">
        <f>IF(ISBLANK(R188),"","&lt;b&gt;")</f>
        <v/>
      </c>
      <c r="R188" s="42" t="inlineStr">
        <is>
          <t>Comm. on Aging</t>
        </is>
      </c>
      <c r="S188" s="42">
        <f>IF(ISBLANK(R188),"","&lt;/i&gt;")</f>
        <v/>
      </c>
      <c r="T188" s="43">
        <f>IF(ISBLANK(X188),"",IF(OR(AB188="PASSED",ISBLANK(N188)),"&lt;b&gt;","&lt;i&gt;"))</f>
        <v/>
      </c>
      <c r="U188" s="3">
        <f>IF(ISBLANK(V188),"","&lt;a href='")</f>
        <v/>
      </c>
      <c r="V188" s="13" t="inlineStr">
        <is>
          <t>https://legislature.idaho.gov/sessioninfo/rs/</t>
        </is>
      </c>
      <c r="W188" s="17">
        <f>IF(ISBLANK(V188),"","'&gt;")</f>
        <v/>
      </c>
      <c r="X188" s="12" t="inlineStr">
        <is>
          <t>General Government</t>
        </is>
      </c>
      <c r="Y188" s="17">
        <f>IF(ISBLANK(X188),"","&lt;/a&gt;")</f>
        <v/>
      </c>
      <c r="Z188" s="42">
        <f>IF(ISBLANK(X188),"",IF(OR(AB188="PASSED",ISBLANK(N188)),"&lt;/b&gt;","&lt;/i&gt;"))</f>
        <v/>
      </c>
      <c r="AA188" s="43">
        <f>IF(AB188="PASSED","&lt;b&gt;","")</f>
        <v/>
      </c>
      <c r="AB188" s="45" t="inlineStr">
        <is>
          <t>INTRODUCED</t>
        </is>
      </c>
      <c r="AC188" s="43">
        <f>IF(AB188="PASSED","&lt;/b&gt;","")</f>
        <v/>
      </c>
      <c r="AD188" s="43">
        <f>IF(ISBLANK(AE188),"","&lt;b&gt;")</f>
        <v/>
      </c>
      <c r="AE188" s="51" t="inlineStr">
        <is>
          <t>02/13</t>
        </is>
      </c>
      <c r="AF188" s="42">
        <f>IF(ISBLANK(AE188),"",": ")</f>
        <v/>
      </c>
      <c r="AG188" s="42" t="inlineStr">
        <is>
          <t>FY27 reduction (-5%)</t>
        </is>
      </c>
      <c r="AH188" s="42">
        <f>IF(ISBLANK(AE188),"","&lt;/b&gt;")</f>
        <v/>
      </c>
      <c r="AI188" s="42" t="n"/>
      <c r="AJ188" s="42">
        <f>IF(ISBLANK(AI188),"","&lt;br&gt;"&amp;AI188)</f>
        <v/>
      </c>
      <c r="AK188" s="4" t="inlineStr">
        <is>
          <t>&lt;br&gt;</t>
        </is>
      </c>
      <c r="AL188" s="42" t="inlineStr">
        <is>
          <t>&lt;b&gt;&lt;i&gt;</t>
        </is>
      </c>
      <c r="AM188" s="42" t="inlineStr">
        <is>
          <t>Governor's 3% + JFAC's 2%</t>
        </is>
      </c>
      <c r="AN188" s="42">
        <f>IF(ISBLANK(AM188),"","&lt;/i&gt;")</f>
        <v/>
      </c>
      <c r="AO188" s="35">
        <f>IF(ISBLANK(AQ188),"","&lt;/b&gt;&lt;br&gt;&lt;br&gt;")</f>
        <v/>
      </c>
      <c r="AP188" s="42">
        <f>IF(ISBLANK(AQ188),"","&lt;b&gt;")</f>
        <v/>
      </c>
      <c r="AQ188" s="47" t="inlineStr">
        <is>
          <t xml:space="preserve">Agency Reduction Plan:&lt;br&gt;Additional </t>
        </is>
      </c>
      <c r="AR188" s="42" t="n">
        <v>2</v>
      </c>
      <c r="AS188" s="4">
        <f>IF(ISBLANK(AR188),""," %")</f>
        <v/>
      </c>
      <c r="AT188" s="4">
        <f t="array" ref="AT188">_xlfn.IFS(NOT(ISBLANK(AU188))," (pgs. ",NOT(ISBLANK(AS188))," (pg. ", ISBLANK(AS188), "")</f>
        <v/>
      </c>
      <c r="AU188" s="52" t="n">
        <v>197</v>
      </c>
      <c r="AV188" s="4">
        <f>IF(ISBLANK(AW188),"",", ")</f>
        <v/>
      </c>
      <c r="AW188" s="42" t="n"/>
      <c r="AX188" s="4">
        <f>IF(ISBLANK(AY188),"",",&lt;br&gt;")</f>
        <v/>
      </c>
      <c r="AY188" s="42" t="n"/>
      <c r="AZ188" s="49">
        <f>IF(ISBLANK(AU188),"",")&lt;/b&gt;")</f>
        <v/>
      </c>
      <c r="BA188" s="4">
        <f>IF(ISBLANK(BC188),"","&lt;br&gt;")</f>
        <v/>
      </c>
      <c r="BB188" s="42">
        <f t="array" ref="BB188">IF(ISBLANK(BC188),"",_xlfn.LET(
_xlpm.words,_xlfn.TEXTSPLIT(TRIM(BC188),"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88" s="50" t="inlineStr">
        <is>
          <t>One-time reversion of Executive Carry Forward funding on contractual payments to Area Agencies on Aging.</t>
        </is>
      </c>
    </row>
    <row r="189">
      <c r="A189" s="20">
        <f>_xlfn.TEXTJOIN("", TRUE, F189:H189)</f>
        <v/>
      </c>
      <c r="B189" s="21">
        <f>_xlfn.TEXTJOIN("", TRUE, I189:S189)</f>
        <v/>
      </c>
      <c r="C189" s="21">
        <f>IF(ISBLANK(X189),"", _xlfn.TEXTJOIN("",TRUE,T189:Z189))</f>
        <v/>
      </c>
      <c r="D189" s="21">
        <f>IF(ISBLANK(AB189), "", _xlfn.TEXTJOIN("", TRUE, AA189:AC189))</f>
        <v/>
      </c>
      <c r="E189" s="22">
        <f>IF(AU189="NA", _xlfn.TEXTJOIN("", TRUE, AD189:AH189), _xlfn.TEXTJOIN("", TRUE, AD189:AJ189))</f>
        <v/>
      </c>
      <c r="F189" s="42">
        <f>IF(LEFT(G189,4)="FY26","&lt;b&gt;","&lt;i&gt;")</f>
        <v/>
      </c>
      <c r="G189" s="42" t="inlineStr">
        <is>
          <t>FY27 Maintenance</t>
        </is>
      </c>
      <c r="H189" s="42">
        <f>IF(LEFT(G189,4)="FY26","&lt;/b&gt;","&lt;/i&gt;")</f>
        <v/>
      </c>
      <c r="I189" s="43" t="inlineStr">
        <is>
          <t>&lt;i&gt;</t>
        </is>
      </c>
      <c r="J189" s="44" t="inlineStr">
        <is>
          <t>General Government</t>
        </is>
      </c>
      <c r="K189" s="44" t="inlineStr">
        <is>
          <t>&lt;/i&gt;</t>
        </is>
      </c>
      <c r="L189" s="4">
        <f>IF(ISBLANK(N189),"","&lt;br&gt;")</f>
        <v/>
      </c>
      <c r="M189" s="42">
        <f>IF(ISBLANK(R189),"&lt;b&gt;","&lt;i&gt;")</f>
        <v/>
      </c>
      <c r="N189" s="42" t="inlineStr">
        <is>
          <t>Office of the Governor</t>
        </is>
      </c>
      <c r="O189" s="42">
        <f>IF(ISBLANK(R189),"&lt;/b&gt;","&lt;/i&gt;")</f>
        <v/>
      </c>
      <c r="P189" s="4">
        <f>IF(ISBLANK(R189),"","&lt;br&gt;")</f>
        <v/>
      </c>
      <c r="Q189" s="42">
        <f>IF(ISBLANK(R189),"","&lt;b&gt;")</f>
        <v/>
      </c>
      <c r="R189" s="42" t="inlineStr">
        <is>
          <t>Comm. on the Arts</t>
        </is>
      </c>
      <c r="S189" s="42">
        <f>IF(ISBLANK(R189),"","&lt;/i&gt;")</f>
        <v/>
      </c>
      <c r="T189" s="43">
        <f>IF(ISBLANK(X189),"",IF(OR(AB189="PASSED",ISBLANK(N189)),"&lt;b&gt;","&lt;i&gt;"))</f>
        <v/>
      </c>
      <c r="U189" s="3">
        <f>IF(ISBLANK(V189),"","&lt;a href='")</f>
        <v/>
      </c>
      <c r="V189" s="13" t="inlineStr">
        <is>
          <t>https://legislature.idaho.gov/sessioninfo/rs/</t>
        </is>
      </c>
      <c r="W189" s="17">
        <f>IF(ISBLANK(V189),"","'&gt;")</f>
        <v/>
      </c>
      <c r="X189" s="12" t="inlineStr">
        <is>
          <t>General Government</t>
        </is>
      </c>
      <c r="Y189" s="17">
        <f>IF(ISBLANK(X189),"","&lt;/a&gt;")</f>
        <v/>
      </c>
      <c r="Z189" s="42">
        <f>IF(ISBLANK(X189),"",IF(OR(AB189="PASSED",ISBLANK(N189)),"&lt;/b&gt;","&lt;/i&gt;"))</f>
        <v/>
      </c>
      <c r="AA189" s="43">
        <f>IF(AB189="PASSED","&lt;b&gt;","")</f>
        <v/>
      </c>
      <c r="AB189" s="45" t="inlineStr">
        <is>
          <t>INTRODUCED</t>
        </is>
      </c>
      <c r="AC189" s="43">
        <f>IF(AB189="PASSED","&lt;/b&gt;","")</f>
        <v/>
      </c>
      <c r="AD189" s="43">
        <f>IF(ISBLANK(AE189),"","&lt;b&gt;")</f>
        <v/>
      </c>
      <c r="AE189" s="51" t="inlineStr">
        <is>
          <t>02/13</t>
        </is>
      </c>
      <c r="AF189" s="42">
        <f>IF(ISBLANK(AE189),"",": ")</f>
        <v/>
      </c>
      <c r="AG189" s="42" t="inlineStr">
        <is>
          <t>FY27 reduction (-5%)</t>
        </is>
      </c>
      <c r="AH189" s="42">
        <f>IF(ISBLANK(AE189),"","&lt;/b&gt;")</f>
        <v/>
      </c>
      <c r="AI189" s="42" t="n"/>
      <c r="AJ189" s="42">
        <f>IF(ISBLANK(AI189),"","&lt;br&gt;"&amp;AI189)</f>
        <v/>
      </c>
      <c r="AK189" s="4" t="inlineStr">
        <is>
          <t>&lt;br&gt;</t>
        </is>
      </c>
      <c r="AL189" s="42" t="inlineStr">
        <is>
          <t>&lt;b&gt;&lt;i&gt;</t>
        </is>
      </c>
      <c r="AM189" s="42" t="inlineStr">
        <is>
          <t>Governor's 3% + JFAC's 2%</t>
        </is>
      </c>
      <c r="AN189" s="42">
        <f>IF(ISBLANK(AM189),"","&lt;/i&gt;")</f>
        <v/>
      </c>
      <c r="AO189" s="35">
        <f>IF(ISBLANK(AQ189),"","&lt;/b&gt;&lt;br&gt;&lt;br&gt;")</f>
        <v/>
      </c>
      <c r="AP189" s="42">
        <f>IF(ISBLANK(AQ189),"","&lt;b&gt;")</f>
        <v/>
      </c>
      <c r="AQ189" s="47" t="inlineStr">
        <is>
          <t xml:space="preserve">Agency Reduction Plan:&lt;br&gt;Additional </t>
        </is>
      </c>
      <c r="AR189" s="42" t="n">
        <v>2</v>
      </c>
      <c r="AS189" s="4">
        <f>IF(ISBLANK(AR189),""," %")</f>
        <v/>
      </c>
      <c r="AT189" s="4">
        <f t="array" ref="AT189">_xlfn.IFS(NOT(ISBLANK(AU189))," (pgs. ",NOT(ISBLANK(AS189))," (pg. ", ISBLANK(AS189), "")</f>
        <v/>
      </c>
      <c r="AU189" s="52" t="n">
        <v>198</v>
      </c>
      <c r="AV189" s="4">
        <f>IF(ISBLANK(AW189),"",", ")</f>
        <v/>
      </c>
      <c r="AW189" s="42" t="n"/>
      <c r="AX189" s="4">
        <f>IF(ISBLANK(AY189),"",",&lt;br&gt;")</f>
        <v/>
      </c>
      <c r="AY189" s="42" t="n"/>
      <c r="AZ189" s="49">
        <f>IF(ISBLANK(AU189),"",")&lt;/b&gt;")</f>
        <v/>
      </c>
      <c r="BA189" s="4">
        <f>IF(ISBLANK(BC189),"","&lt;br&gt;")</f>
        <v/>
      </c>
      <c r="BB189" s="42">
        <f t="array" ref="BB189">IF(ISBLANK(BC189),"",_xlfn.LET(
_xlpm.words,_xlfn.TEXTSPLIT(TRIM(BC189),"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89" s="50" t="inlineStr">
        <is>
          <t>For both FY 2026 and FY 2027, our agency would meet any required reversions through reductions in personnel costs. If additional reductions are required in FY 2027, the agency would need to temporarily vacate a position and restructure the role to align with reduced agency capacity resulting from cumulative budget reductions.</t>
        </is>
      </c>
    </row>
    <row r="190">
      <c r="A190" s="20">
        <f>_xlfn.TEXTJOIN("", TRUE, F190:H190)</f>
        <v/>
      </c>
      <c r="B190" s="21">
        <f>_xlfn.TEXTJOIN("", TRUE, I190:S190)</f>
        <v/>
      </c>
      <c r="C190" s="21">
        <f>IF(ISBLANK(X190),"", _xlfn.TEXTJOIN("",TRUE,T190:Z190))</f>
        <v/>
      </c>
      <c r="D190" s="21">
        <f>IF(ISBLANK(AB190), "", _xlfn.TEXTJOIN("", TRUE, AA190:AC190))</f>
        <v/>
      </c>
      <c r="E190" s="22">
        <f>IF(AU190="NA", _xlfn.TEXTJOIN("", TRUE, AD190:AH190), _xlfn.TEXTJOIN("", TRUE, AD190:AJ190))</f>
        <v/>
      </c>
      <c r="F190" s="42">
        <f>IF(LEFT(G190,4)="FY26","&lt;b&gt;","&lt;i&gt;")</f>
        <v/>
      </c>
      <c r="G190" s="42" t="inlineStr">
        <is>
          <t>FY27 Maintenance</t>
        </is>
      </c>
      <c r="H190" s="42">
        <f>IF(LEFT(G190,4)="FY26","&lt;/b&gt;","&lt;/i&gt;")</f>
        <v/>
      </c>
      <c r="I190" s="43" t="inlineStr">
        <is>
          <t>&lt;i&gt;</t>
        </is>
      </c>
      <c r="J190" s="44" t="inlineStr">
        <is>
          <t>General Government</t>
        </is>
      </c>
      <c r="K190" s="44" t="inlineStr">
        <is>
          <t>&lt;/i&gt;</t>
        </is>
      </c>
      <c r="L190" s="4">
        <f>IF(ISBLANK(N190),"","&lt;br&gt;")</f>
        <v/>
      </c>
      <c r="M190" s="42">
        <f>IF(ISBLANK(R190),"&lt;b&gt;","&lt;i&gt;")</f>
        <v/>
      </c>
      <c r="N190" s="42" t="inlineStr">
        <is>
          <t>Office of the Governor</t>
        </is>
      </c>
      <c r="O190" s="42">
        <f>IF(ISBLANK(R190),"&lt;/b&gt;","&lt;/i&gt;")</f>
        <v/>
      </c>
      <c r="P190" s="4">
        <f>IF(ISBLANK(R190),"","&lt;br&gt;")</f>
        <v/>
      </c>
      <c r="Q190" s="42">
        <f>IF(ISBLANK(R190),"","&lt;b&gt;")</f>
        <v/>
      </c>
      <c r="R190" s="42" t="inlineStr">
        <is>
          <t>Div. of Financial Management</t>
        </is>
      </c>
      <c r="S190" s="42">
        <f>IF(ISBLANK(R190),"","&lt;/i&gt;")</f>
        <v/>
      </c>
      <c r="T190" s="43">
        <f>IF(ISBLANK(X190),"",IF(OR(AB190="PASSED",ISBLANK(N190)),"&lt;b&gt;","&lt;i&gt;"))</f>
        <v/>
      </c>
      <c r="U190" s="3">
        <f>IF(ISBLANK(V190),"","&lt;a href='")</f>
        <v/>
      </c>
      <c r="V190" s="13" t="inlineStr">
        <is>
          <t>https://legislature.idaho.gov/sessioninfo/rs/</t>
        </is>
      </c>
      <c r="W190" s="17">
        <f>IF(ISBLANK(V190),"","'&gt;")</f>
        <v/>
      </c>
      <c r="X190" s="12" t="inlineStr">
        <is>
          <t>General Government</t>
        </is>
      </c>
      <c r="Y190" s="17">
        <f>IF(ISBLANK(X190),"","&lt;/a&gt;")</f>
        <v/>
      </c>
      <c r="Z190" s="42">
        <f>IF(ISBLANK(X190),"",IF(OR(AB190="PASSED",ISBLANK(N190)),"&lt;/b&gt;","&lt;/i&gt;"))</f>
        <v/>
      </c>
      <c r="AA190" s="43">
        <f>IF(AB190="PASSED","&lt;b&gt;","")</f>
        <v/>
      </c>
      <c r="AB190" s="45" t="inlineStr">
        <is>
          <t>INTRODUCED</t>
        </is>
      </c>
      <c r="AC190" s="43">
        <f>IF(AB190="PASSED","&lt;/b&gt;","")</f>
        <v/>
      </c>
      <c r="AD190" s="43">
        <f>IF(ISBLANK(AE190),"","&lt;b&gt;")</f>
        <v/>
      </c>
      <c r="AE190" s="51" t="inlineStr">
        <is>
          <t>02/13</t>
        </is>
      </c>
      <c r="AF190" s="42">
        <f>IF(ISBLANK(AE190),"",": ")</f>
        <v/>
      </c>
      <c r="AG190" s="42" t="inlineStr">
        <is>
          <t>FY27 reduction (-5%)</t>
        </is>
      </c>
      <c r="AH190" s="42">
        <f>IF(ISBLANK(AE190),"","&lt;/b&gt;")</f>
        <v/>
      </c>
      <c r="AI190" s="42" t="n"/>
      <c r="AJ190" s="42">
        <f>IF(ISBLANK(AI190),"","&lt;br&gt;"&amp;AI190)</f>
        <v/>
      </c>
      <c r="AK190" s="4" t="inlineStr">
        <is>
          <t>&lt;br&gt;</t>
        </is>
      </c>
      <c r="AL190" s="42" t="inlineStr">
        <is>
          <t>&lt;b&gt;&lt;i&gt;</t>
        </is>
      </c>
      <c r="AM190" s="42" t="inlineStr">
        <is>
          <t>Governor's 3% + JFAC's 2%</t>
        </is>
      </c>
      <c r="AN190" s="42">
        <f>IF(ISBLANK(AM190),"","&lt;/i&gt;")</f>
        <v/>
      </c>
      <c r="AO190" s="35">
        <f>IF(ISBLANK(AQ190),"","&lt;/b&gt;&lt;br&gt;&lt;br&gt;")</f>
        <v/>
      </c>
      <c r="AP190" s="42">
        <f>IF(ISBLANK(AQ190),"","&lt;b&gt;")</f>
        <v/>
      </c>
      <c r="AQ190" s="47" t="inlineStr">
        <is>
          <t xml:space="preserve">Agency Reduction Plan:&lt;br&gt;Additional </t>
        </is>
      </c>
      <c r="AR190" s="42" t="n">
        <v>2</v>
      </c>
      <c r="AS190" s="4">
        <f>IF(ISBLANK(AR190),""," %")</f>
        <v/>
      </c>
      <c r="AT190" s="4">
        <f t="array" ref="AT190">_xlfn.IFS(NOT(ISBLANK(AU190))," (pgs. ",NOT(ISBLANK(AS190))," (pg. ", ISBLANK(AS190), "")</f>
        <v/>
      </c>
      <c r="AU190" s="52" t="n">
        <v>208</v>
      </c>
      <c r="AV190" s="4">
        <f>IF(ISBLANK(AW190),"",", ")</f>
        <v/>
      </c>
      <c r="AW190" s="42" t="n"/>
      <c r="AX190" s="4">
        <f>IF(ISBLANK(AY190),"",",&lt;br&gt;")</f>
        <v/>
      </c>
      <c r="AY190" s="42" t="n"/>
      <c r="AZ190" s="49">
        <f>IF(ISBLANK(AU190),"",")&lt;/b&gt;")</f>
        <v/>
      </c>
      <c r="BA190" s="4">
        <f>IF(ISBLANK(BC190),"","&lt;br&gt;")</f>
        <v/>
      </c>
      <c r="BB190" s="42">
        <f t="array" ref="BB190">IF(ISBLANK(BC190),"",_xlfn.LET(
_xlpm.words,_xlfn.TEXTSPLIT(TRIM(BC190),"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90" s="50" t="inlineStr">
        <is>
          <t>Cutting/renegotiating contracts: DFM is very efficient in this area already, so a cut in this area would mean elimination of necessary tools used to develop budgets. For example: (a) economic tools that strengthen the ability to forecast and collect data for the most accurate revenue projections; and (b) Federal Funds Information for States (FFIS) which helps states manage federal funds by analyzing the impact of federal actions on states—be it sequestration, budget enactment, new legislative proposals, or potential government shutdowns. These tools are extensively used by the executive and legislative branches to accurately and efficiently set budget and make policy decisions for the Idaho taxpayers. Limit IT Services: DFM, like all state agencies, already operate on limited IT services. Further cuts to IT services will lead to lower productivity, increased system downtime, and greater cybersecurity risk as maintenance and support are reduced. Such cuts will also lead to slower response times, limited tools, reduced innovation, minimizing e􀆯iciencies and growing technical debt. Lastly, IT cuts would likely lead to future increased IT needs and costs. All potential options would impair compliance with Idaho code.</t>
        </is>
      </c>
    </row>
    <row r="191">
      <c r="A191" s="20">
        <f>_xlfn.TEXTJOIN("", TRUE, F191:H191)</f>
        <v/>
      </c>
      <c r="B191" s="21">
        <f>_xlfn.TEXTJOIN("", TRUE, I191:S191)</f>
        <v/>
      </c>
      <c r="C191" s="21">
        <f>IF(ISBLANK(X191),"", _xlfn.TEXTJOIN("",TRUE,T191:Z191))</f>
        <v/>
      </c>
      <c r="D191" s="21">
        <f>IF(ISBLANK(AB191), "", _xlfn.TEXTJOIN("", TRUE, AA191:AC191))</f>
        <v/>
      </c>
      <c r="E191" s="22">
        <f>IF(AU191="NA", _xlfn.TEXTJOIN("", TRUE, AD191:AH191), _xlfn.TEXTJOIN("", TRUE, AD191:AJ191))</f>
        <v/>
      </c>
      <c r="F191" s="42">
        <f>IF(LEFT(G191,4)="FY26","&lt;b&gt;","&lt;i&gt;")</f>
        <v/>
      </c>
      <c r="G191" s="42" t="inlineStr">
        <is>
          <t>FY27 Maintenance</t>
        </is>
      </c>
      <c r="H191" s="42">
        <f>IF(LEFT(G191,4)="FY26","&lt;/b&gt;","&lt;/i&gt;")</f>
        <v/>
      </c>
      <c r="I191" s="43" t="inlineStr">
        <is>
          <t>&lt;i&gt;</t>
        </is>
      </c>
      <c r="J191" s="44" t="inlineStr">
        <is>
          <t>General Government</t>
        </is>
      </c>
      <c r="K191" s="44" t="inlineStr">
        <is>
          <t>&lt;/i&gt;</t>
        </is>
      </c>
      <c r="L191" s="4">
        <f>IF(ISBLANK(N191),"","&lt;br&gt;")</f>
        <v/>
      </c>
      <c r="M191" s="42">
        <f>IF(ISBLANK(R191),"&lt;b&gt;","&lt;i&gt;")</f>
        <v/>
      </c>
      <c r="N191" s="42" t="inlineStr">
        <is>
          <t>Office of the Governor</t>
        </is>
      </c>
      <c r="O191" s="42">
        <f>IF(ISBLANK(R191),"&lt;/b&gt;","&lt;/i&gt;")</f>
        <v/>
      </c>
      <c r="P191" s="4">
        <f>IF(ISBLANK(R191),"","&lt;br&gt;")</f>
        <v/>
      </c>
      <c r="Q191" s="42">
        <f>IF(ISBLANK(R191),"","&lt;b&gt;")</f>
        <v/>
      </c>
      <c r="R191" s="42" t="inlineStr">
        <is>
          <t>Div. of Human Resources</t>
        </is>
      </c>
      <c r="S191" s="42">
        <f>IF(ISBLANK(R191),"","&lt;/i&gt;")</f>
        <v/>
      </c>
      <c r="T191" s="43">
        <f>IF(ISBLANK(X191),"",IF(OR(AB191="PASSED",ISBLANK(N191)),"&lt;b&gt;","&lt;i&gt;"))</f>
        <v/>
      </c>
      <c r="U191" s="3">
        <f>IF(ISBLANK(V191),"","&lt;a href='")</f>
        <v/>
      </c>
      <c r="V191" s="13" t="inlineStr">
        <is>
          <t>https://legislature.idaho.gov/sessioninfo/rs/</t>
        </is>
      </c>
      <c r="W191" s="17">
        <f>IF(ISBLANK(V191),"","'&gt;")</f>
        <v/>
      </c>
      <c r="X191" s="12" t="inlineStr">
        <is>
          <t>General Government</t>
        </is>
      </c>
      <c r="Y191" s="17">
        <f>IF(ISBLANK(X191),"","&lt;/a&gt;")</f>
        <v/>
      </c>
      <c r="Z191" s="42">
        <f>IF(ISBLANK(X191),"",IF(OR(AB191="PASSED",ISBLANK(N191)),"&lt;/b&gt;","&lt;/i&gt;"))</f>
        <v/>
      </c>
      <c r="AA191" s="43">
        <f>IF(AB191="PASSED","&lt;b&gt;","")</f>
        <v/>
      </c>
      <c r="AB191" s="45" t="inlineStr">
        <is>
          <t>INTRODUCED</t>
        </is>
      </c>
      <c r="AC191" s="43">
        <f>IF(AB191="PASSED","&lt;/b&gt;","")</f>
        <v/>
      </c>
      <c r="AD191" s="43">
        <f>IF(ISBLANK(AE191),"","&lt;b&gt;")</f>
        <v/>
      </c>
      <c r="AE191" s="51" t="inlineStr">
        <is>
          <t>02/13</t>
        </is>
      </c>
      <c r="AF191" s="42">
        <f>IF(ISBLANK(AE191),"",": ")</f>
        <v/>
      </c>
      <c r="AG191" s="42" t="inlineStr">
        <is>
          <t>FY27 reduction (-5%)</t>
        </is>
      </c>
      <c r="AH191" s="42">
        <f>IF(ISBLANK(AE191),"","&lt;/b&gt;")</f>
        <v/>
      </c>
      <c r="AI191" s="42" t="n"/>
      <c r="AJ191" s="42">
        <f>IF(ISBLANK(AI191),"","&lt;br&gt;"&amp;AI191)</f>
        <v/>
      </c>
      <c r="AK191" s="4" t="inlineStr">
        <is>
          <t>&lt;br&gt;</t>
        </is>
      </c>
      <c r="AL191" s="42" t="inlineStr">
        <is>
          <t>&lt;b&gt;&lt;i&gt;</t>
        </is>
      </c>
      <c r="AM191" s="42" t="inlineStr">
        <is>
          <t>Governor's 3% + JFAC's 2%</t>
        </is>
      </c>
      <c r="AN191" s="42">
        <f>IF(ISBLANK(AM191),"","&lt;/i&gt;")</f>
        <v/>
      </c>
      <c r="AO191" s="4">
        <f>IF(ISBLANK(AQ191),"","&lt;/b&gt;&lt;br&gt;&lt;br&gt;")</f>
        <v/>
      </c>
      <c r="AP191" s="42">
        <f>IF(ISBLANK(AQ191),"","&lt;b&gt;")</f>
        <v/>
      </c>
      <c r="AQ191" s="47" t="inlineStr">
        <is>
          <t xml:space="preserve">Agency Reduction Plan:&lt;br&gt;Additional </t>
        </is>
      </c>
      <c r="AR191" s="42" t="n">
        <v>2</v>
      </c>
      <c r="AS191" s="4">
        <f>IF(ISBLANK(AR191),""," %")</f>
        <v/>
      </c>
      <c r="AT191" s="4">
        <f t="array" ref="AT191">_xlfn.IFS(NOT(ISBLANK(AU191))," (pgs. ",NOT(ISBLANK(AS191))," (pg. ", ISBLANK(AS191), "")</f>
        <v/>
      </c>
      <c r="AU191" s="52" t="inlineStr">
        <is>
          <t>NA</t>
        </is>
      </c>
      <c r="AV191" s="4">
        <f>IF(ISBLANK(AW191),"",", ")</f>
        <v/>
      </c>
      <c r="AW191" s="42" t="n"/>
      <c r="AX191" s="4">
        <f>IF(ISBLANK(AY191),"",",&lt;br&gt;")</f>
        <v/>
      </c>
      <c r="AY191" s="42" t="n"/>
      <c r="AZ191" s="49">
        <f>IF(ISBLANK(AU191),"",")&lt;/b&gt;")</f>
        <v/>
      </c>
      <c r="BA191" s="4">
        <f>IF(ISBLANK(BC191),"","&lt;br&gt;")</f>
        <v/>
      </c>
      <c r="BB191" s="42">
        <f t="array" ref="BB191">IF(ISBLANK(BC191),"",_xlfn.LET(
_xlpm.words,_xlfn.TEXTSPLIT(TRIM(BC191),"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91" s="50" t="n"/>
    </row>
    <row r="192">
      <c r="A192" s="20">
        <f>_xlfn.TEXTJOIN("", TRUE, F192:H192)</f>
        <v/>
      </c>
      <c r="B192" s="21">
        <f>_xlfn.TEXTJOIN("", TRUE, I192:S192)</f>
        <v/>
      </c>
      <c r="C192" s="21">
        <f>IF(ISBLANK(X192),"", _xlfn.TEXTJOIN("",TRUE,T192:Z192))</f>
        <v/>
      </c>
      <c r="D192" s="21">
        <f>IF(ISBLANK(AB192), "", _xlfn.TEXTJOIN("", TRUE, AA192:AC192))</f>
        <v/>
      </c>
      <c r="E192" s="22">
        <f>IF(AU192="NA", _xlfn.TEXTJOIN("", TRUE, AD192:AH192), _xlfn.TEXTJOIN("", TRUE, AD192:AJ192))</f>
        <v/>
      </c>
      <c r="F192" s="42">
        <f>IF(LEFT(G192,4)="FY26","&lt;b&gt;","&lt;i&gt;")</f>
        <v/>
      </c>
      <c r="G192" s="42" t="inlineStr">
        <is>
          <t>FY27 Maintenance</t>
        </is>
      </c>
      <c r="H192" s="42">
        <f>IF(LEFT(G192,4)="FY26","&lt;/b&gt;","&lt;/i&gt;")</f>
        <v/>
      </c>
      <c r="I192" s="43" t="inlineStr">
        <is>
          <t>&lt;i&gt;</t>
        </is>
      </c>
      <c r="J192" s="44" t="inlineStr">
        <is>
          <t>General Government</t>
        </is>
      </c>
      <c r="K192" s="44" t="inlineStr">
        <is>
          <t>&lt;/i&gt;</t>
        </is>
      </c>
      <c r="L192" s="4">
        <f>IF(ISBLANK(N192),"","&lt;br&gt;")</f>
        <v/>
      </c>
      <c r="M192" s="42">
        <f>IF(ISBLANK(R192),"&lt;b&gt;","&lt;i&gt;")</f>
        <v/>
      </c>
      <c r="N192" s="42" t="inlineStr">
        <is>
          <t>Office of the Governor</t>
        </is>
      </c>
      <c r="O192" s="42">
        <f>IF(ISBLANK(R192),"&lt;/b&gt;","&lt;/i&gt;")</f>
        <v/>
      </c>
      <c r="P192" s="4">
        <f>IF(ISBLANK(R192),"","&lt;br&gt;")</f>
        <v/>
      </c>
      <c r="Q192" s="42">
        <f>IF(ISBLANK(R192),"","&lt;b&gt;")</f>
        <v/>
      </c>
      <c r="R192" s="42" t="inlineStr">
        <is>
          <t>Military Div.</t>
        </is>
      </c>
      <c r="S192" s="42">
        <f>IF(ISBLANK(R192),"","&lt;/i&gt;")</f>
        <v/>
      </c>
      <c r="T192" s="43">
        <f>IF(ISBLANK(X192),"",IF(OR(AB192="PASSED",ISBLANK(N192)),"&lt;b&gt;","&lt;i&gt;"))</f>
        <v/>
      </c>
      <c r="U192" s="3">
        <f>IF(ISBLANK(V192),"","&lt;a href='")</f>
        <v/>
      </c>
      <c r="V192" s="13" t="inlineStr">
        <is>
          <t>https://legislature.idaho.gov/sessioninfo/rs/</t>
        </is>
      </c>
      <c r="W192" s="17">
        <f>IF(ISBLANK(V192),"","'&gt;")</f>
        <v/>
      </c>
      <c r="X192" s="12" t="inlineStr">
        <is>
          <t>General Government</t>
        </is>
      </c>
      <c r="Y192" s="17">
        <f>IF(ISBLANK(X192),"","&lt;/a&gt;")</f>
        <v/>
      </c>
      <c r="Z192" s="42">
        <f>IF(ISBLANK(X192),"",IF(OR(AB192="PASSED",ISBLANK(N192)),"&lt;/b&gt;","&lt;/i&gt;"))</f>
        <v/>
      </c>
      <c r="AA192" s="43">
        <f>IF(AB192="PASSED","&lt;b&gt;","")</f>
        <v/>
      </c>
      <c r="AB192" s="45" t="inlineStr">
        <is>
          <t>INTRODUCED</t>
        </is>
      </c>
      <c r="AC192" s="43">
        <f>IF(AB192="PASSED","&lt;/b&gt;","")</f>
        <v/>
      </c>
      <c r="AD192" s="43">
        <f>IF(ISBLANK(AE192),"","&lt;b&gt;")</f>
        <v/>
      </c>
      <c r="AE192" s="51" t="inlineStr">
        <is>
          <t>02/13</t>
        </is>
      </c>
      <c r="AF192" s="42">
        <f>IF(ISBLANK(AE192),"",": ")</f>
        <v/>
      </c>
      <c r="AG192" s="42" t="inlineStr">
        <is>
          <t>FY27 reduction (-5%)</t>
        </is>
      </c>
      <c r="AH192" s="42">
        <f>IF(ISBLANK(AE192),"","&lt;/b&gt;")</f>
        <v/>
      </c>
      <c r="AI192" s="42" t="n"/>
      <c r="AJ192" s="42">
        <f>IF(ISBLANK(AI192),"","&lt;br&gt;"&amp;AI192)</f>
        <v/>
      </c>
      <c r="AK192" s="4" t="inlineStr">
        <is>
          <t>&lt;br&gt;</t>
        </is>
      </c>
      <c r="AL192" s="42" t="inlineStr">
        <is>
          <t>&lt;b&gt;&lt;i&gt;</t>
        </is>
      </c>
      <c r="AM192" s="42" t="inlineStr">
        <is>
          <t>Governor's 3% + JFAC's 2%</t>
        </is>
      </c>
      <c r="AN192" s="42">
        <f>IF(ISBLANK(AM192),"","&lt;/i&gt;")</f>
        <v/>
      </c>
      <c r="AO192" s="35">
        <f>IF(ISBLANK(AQ192),"","&lt;/b&gt;&lt;br&gt;&lt;br&gt;")</f>
        <v/>
      </c>
      <c r="AP192" s="42">
        <f>IF(ISBLANK(AQ192),"","&lt;b&gt;")</f>
        <v/>
      </c>
      <c r="AQ192" s="47" t="inlineStr">
        <is>
          <t xml:space="preserve">Agency Reduction Plan:&lt;br&gt;Additional </t>
        </is>
      </c>
      <c r="AR192" s="42" t="n">
        <v>2</v>
      </c>
      <c r="AS192" s="4">
        <f>IF(ISBLANK(AR192),""," %")</f>
        <v/>
      </c>
      <c r="AT192" s="4">
        <f t="array" ref="AT192">_xlfn.IFS(NOT(ISBLANK(AU192))," (pgs. ",NOT(ISBLANK(AS192))," (pg. ", ISBLANK(AS192), "")</f>
        <v/>
      </c>
      <c r="AU192" s="52" t="inlineStr">
        <is>
          <t>NA</t>
        </is>
      </c>
      <c r="AV192" s="4">
        <f>IF(ISBLANK(AW192),"",", ")</f>
        <v/>
      </c>
      <c r="AW192" s="42" t="n"/>
      <c r="AX192" s="4">
        <f>IF(ISBLANK(AY192),"",",&lt;br&gt;")</f>
        <v/>
      </c>
      <c r="AY192" s="42" t="n"/>
      <c r="AZ192" s="49">
        <f>IF(ISBLANK(AU192),"",")&lt;/b&gt;")</f>
        <v/>
      </c>
      <c r="BA192" s="4">
        <f>IF(ISBLANK(BC192),"","&lt;br&gt;")</f>
        <v/>
      </c>
      <c r="BB192" s="42">
        <f t="array" ref="BB192">IF(ISBLANK(BC192),"",_xlfn.LET(
_xlpm.words,_xlfn.TEXTSPLIT(TRIM(BC192),"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92" s="50" t="n"/>
    </row>
    <row r="193">
      <c r="A193" s="20">
        <f>_xlfn.TEXTJOIN("", TRUE, F193:H193)</f>
        <v/>
      </c>
      <c r="B193" s="21">
        <f>_xlfn.TEXTJOIN("", TRUE, I193:S193)</f>
        <v/>
      </c>
      <c r="C193" s="21">
        <f>IF(ISBLANK(X193),"", _xlfn.TEXTJOIN("",TRUE,T193:Z193))</f>
        <v/>
      </c>
      <c r="D193" s="21">
        <f>IF(ISBLANK(AB193), "", _xlfn.TEXTJOIN("", TRUE, AA193:AC193))</f>
        <v/>
      </c>
      <c r="E193" s="22">
        <f>IF(AU193="NA", _xlfn.TEXTJOIN("", TRUE, AD193:AH193), _xlfn.TEXTJOIN("", TRUE, AD193:AJ193))</f>
        <v/>
      </c>
      <c r="F193" s="42">
        <f>IF(LEFT(G193,4)="FY26","&lt;b&gt;","&lt;i&gt;")</f>
        <v/>
      </c>
      <c r="G193" s="42" t="inlineStr">
        <is>
          <t>FY27 Maintenance</t>
        </is>
      </c>
      <c r="H193" s="42">
        <f>IF(LEFT(G193,4)="FY26","&lt;/b&gt;","&lt;/i&gt;")</f>
        <v/>
      </c>
      <c r="I193" s="43" t="inlineStr">
        <is>
          <t>&lt;i&gt;</t>
        </is>
      </c>
      <c r="J193" s="44" t="inlineStr">
        <is>
          <t>General Government</t>
        </is>
      </c>
      <c r="K193" s="44" t="inlineStr">
        <is>
          <t>&lt;/i&gt;</t>
        </is>
      </c>
      <c r="L193" s="4">
        <f>IF(ISBLANK(N193),"","&lt;br&gt;")</f>
        <v/>
      </c>
      <c r="M193" s="42">
        <f>IF(ISBLANK(R193),"&lt;b&gt;","&lt;i&gt;")</f>
        <v/>
      </c>
      <c r="N193" s="42" t="inlineStr">
        <is>
          <t>Office of the Governor</t>
        </is>
      </c>
      <c r="O193" s="42">
        <f>IF(ISBLANK(R193),"&lt;/b&gt;","&lt;/i&gt;")</f>
        <v/>
      </c>
      <c r="P193" s="4">
        <f>IF(ISBLANK(R193),"","&lt;br&gt;")</f>
        <v/>
      </c>
      <c r="Q193" s="42">
        <f>IF(ISBLANK(R193),"","&lt;b&gt;")</f>
        <v/>
      </c>
      <c r="R193" s="42" t="inlineStr">
        <is>
          <t>Office of Drug Policy</t>
        </is>
      </c>
      <c r="S193" s="42">
        <f>IF(ISBLANK(R193),"","&lt;/i&gt;")</f>
        <v/>
      </c>
      <c r="T193" s="43">
        <f>IF(ISBLANK(X193),"",IF(OR(AB193="PASSED",ISBLANK(N193)),"&lt;b&gt;","&lt;i&gt;"))</f>
        <v/>
      </c>
      <c r="U193" s="3">
        <f>IF(ISBLANK(V193),"","&lt;a href='")</f>
        <v/>
      </c>
      <c r="V193" s="13" t="inlineStr">
        <is>
          <t>https://legislature.idaho.gov/sessioninfo/rs/</t>
        </is>
      </c>
      <c r="W193" s="17">
        <f>IF(ISBLANK(V193),"","'&gt;")</f>
        <v/>
      </c>
      <c r="X193" s="12" t="inlineStr">
        <is>
          <t>General Government</t>
        </is>
      </c>
      <c r="Y193" s="17">
        <f>IF(ISBLANK(X193),"","&lt;/a&gt;")</f>
        <v/>
      </c>
      <c r="Z193" s="42">
        <f>IF(ISBLANK(X193),"",IF(OR(AB193="PASSED",ISBLANK(N193)),"&lt;/b&gt;","&lt;/i&gt;"))</f>
        <v/>
      </c>
      <c r="AA193" s="43">
        <f>IF(AB193="PASSED","&lt;b&gt;","")</f>
        <v/>
      </c>
      <c r="AB193" s="45" t="inlineStr">
        <is>
          <t>INTRODUCED</t>
        </is>
      </c>
      <c r="AC193" s="43">
        <f>IF(AB193="PASSED","&lt;/b&gt;","")</f>
        <v/>
      </c>
      <c r="AD193" s="43">
        <f>IF(ISBLANK(AE193),"","&lt;b&gt;")</f>
        <v/>
      </c>
      <c r="AE193" s="51" t="inlineStr">
        <is>
          <t>02/13</t>
        </is>
      </c>
      <c r="AF193" s="42">
        <f>IF(ISBLANK(AE193),"",": ")</f>
        <v/>
      </c>
      <c r="AG193" s="42" t="inlineStr">
        <is>
          <t>FY27 reduction (-5%)</t>
        </is>
      </c>
      <c r="AH193" s="42">
        <f>IF(ISBLANK(AE193),"","&lt;/b&gt;")</f>
        <v/>
      </c>
      <c r="AI193" s="42" t="n"/>
      <c r="AJ193" s="42">
        <f>IF(ISBLANK(AI193),"","&lt;br&gt;"&amp;AI193)</f>
        <v/>
      </c>
      <c r="AK193" s="4" t="inlineStr">
        <is>
          <t>&lt;br&gt;</t>
        </is>
      </c>
      <c r="AL193" s="42" t="inlineStr">
        <is>
          <t>&lt;b&gt;&lt;i&gt;</t>
        </is>
      </c>
      <c r="AM193" s="42" t="inlineStr">
        <is>
          <t>Governor's 3% + JFAC's 2%</t>
        </is>
      </c>
      <c r="AN193" s="42">
        <f>IF(ISBLANK(AM193),"","&lt;/i&gt;")</f>
        <v/>
      </c>
      <c r="AO193" s="35">
        <f>IF(ISBLANK(AQ193),"","&lt;/b&gt;&lt;br&gt;&lt;br&gt;")</f>
        <v/>
      </c>
      <c r="AP193" s="42">
        <f>IF(ISBLANK(AQ193),"","&lt;b&gt;")</f>
        <v/>
      </c>
      <c r="AQ193" s="47" t="inlineStr">
        <is>
          <t xml:space="preserve">Agency Reduction Plan:&lt;br&gt;Additional </t>
        </is>
      </c>
      <c r="AR193" s="42" t="n">
        <v>2</v>
      </c>
      <c r="AS193" s="4">
        <f>IF(ISBLANK(AR193),""," %")</f>
        <v/>
      </c>
      <c r="AT193" s="4">
        <f t="array" ref="AT193">_xlfn.IFS(NOT(ISBLANK(AU193))," (pgs. ",NOT(ISBLANK(AS193))," (pg. ", ISBLANK(AS193), "")</f>
        <v/>
      </c>
      <c r="AU193" s="52" t="n">
        <v>205</v>
      </c>
      <c r="AV193" s="4">
        <f>IF(ISBLANK(AW193),"",", ")</f>
        <v/>
      </c>
      <c r="AW193" s="42" t="n"/>
      <c r="AX193" s="4">
        <f>IF(ISBLANK(AY193),"",",&lt;br&gt;")</f>
        <v/>
      </c>
      <c r="AY193" s="42" t="n"/>
      <c r="AZ193" s="49">
        <f>IF(ISBLANK(AU193),"",")&lt;/b&gt;")</f>
        <v/>
      </c>
      <c r="BA193" s="4">
        <f>IF(ISBLANK(BC193),"","&lt;br&gt;")</f>
        <v/>
      </c>
      <c r="BB193" s="42">
        <f t="array" ref="BB193">IF(ISBLANK(BC193),"",_xlfn.LET(
_xlpm.words,_xlfn.TEXTSPLIT(TRIM(BC193),"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93" s="50" t="inlineStr">
        <is>
          <t>Salary savings generated from vacant positions are being reverted at this time. While these savings reflect short-term efficiencies, continued reversion could eventually have a negative impact on General Fund personnel costs. Specifically, if the Governor and Legislature appoint a Director for the Office of Drug Policy, the resulting salary and benefit obligations would eliminate current vacancy savings and place additional pressure on personnel expenditures. Over time, this could reduce staffing flexibility and limit the ability to absorb future personnel costs within the General Fund.</t>
        </is>
      </c>
    </row>
    <row r="194">
      <c r="A194" s="20">
        <f>_xlfn.TEXTJOIN("", TRUE, F194:H194)</f>
        <v/>
      </c>
      <c r="B194" s="21">
        <f>_xlfn.TEXTJOIN("", TRUE, I194:S194)</f>
        <v/>
      </c>
      <c r="C194" s="21">
        <f>IF(ISBLANK(X194),"", _xlfn.TEXTJOIN("",TRUE,T194:Z194))</f>
        <v/>
      </c>
      <c r="D194" s="21">
        <f>IF(ISBLANK(AB194), "", _xlfn.TEXTJOIN("", TRUE, AA194:AC194))</f>
        <v/>
      </c>
      <c r="E194" s="22">
        <f>IF(AU194="NA", _xlfn.TEXTJOIN("", TRUE, AD194:AH194), _xlfn.TEXTJOIN("", TRUE, AD194:AJ194))</f>
        <v/>
      </c>
      <c r="F194" s="42">
        <f>IF(LEFT(G194,4)="FY26","&lt;b&gt;","&lt;i&gt;")</f>
        <v/>
      </c>
      <c r="G194" s="42" t="inlineStr">
        <is>
          <t>FY27 Maintenance</t>
        </is>
      </c>
      <c r="H194" s="42">
        <f>IF(LEFT(G194,4)="FY26","&lt;/b&gt;","&lt;/i&gt;")</f>
        <v/>
      </c>
      <c r="I194" s="43" t="inlineStr">
        <is>
          <t>&lt;i&gt;</t>
        </is>
      </c>
      <c r="J194" s="44" t="inlineStr">
        <is>
          <t>General Government</t>
        </is>
      </c>
      <c r="K194" s="44" t="inlineStr">
        <is>
          <t>&lt;/i&gt;</t>
        </is>
      </c>
      <c r="L194" s="4">
        <f>IF(ISBLANK(N194),"","&lt;br&gt;")</f>
        <v/>
      </c>
      <c r="M194" s="42">
        <f>IF(ISBLANK(R194),"&lt;b&gt;","&lt;i&gt;")</f>
        <v/>
      </c>
      <c r="N194" s="42" t="inlineStr">
        <is>
          <t>Office of the Governor</t>
        </is>
      </c>
      <c r="O194" s="42">
        <f>IF(ISBLANK(R194),"&lt;/b&gt;","&lt;/i&gt;")</f>
        <v/>
      </c>
      <c r="P194" s="4">
        <f>IF(ISBLANK(R194),"","&lt;br&gt;")</f>
        <v/>
      </c>
      <c r="Q194" s="42">
        <f>IF(ISBLANK(R194),"","&lt;b&gt;")</f>
        <v/>
      </c>
      <c r="R194" s="42" t="inlineStr">
        <is>
          <t>Office of Energy &amp; Mineral Resources</t>
        </is>
      </c>
      <c r="S194" s="42">
        <f>IF(ISBLANK(R194),"","&lt;/i&gt;")</f>
        <v/>
      </c>
      <c r="T194" s="43">
        <f>IF(ISBLANK(X194),"",IF(OR(AB194="PASSED",ISBLANK(N194)),"&lt;b&gt;","&lt;i&gt;"))</f>
        <v/>
      </c>
      <c r="U194" s="3">
        <f>IF(ISBLANK(V194),"","&lt;a href='")</f>
        <v/>
      </c>
      <c r="V194" s="13" t="inlineStr">
        <is>
          <t>https://legislature.idaho.gov/sessioninfo/rs/</t>
        </is>
      </c>
      <c r="W194" s="17">
        <f>IF(ISBLANK(V194),"","'&gt;")</f>
        <v/>
      </c>
      <c r="X194" s="12" t="inlineStr">
        <is>
          <t>General Government</t>
        </is>
      </c>
      <c r="Y194" s="17">
        <f>IF(ISBLANK(X194),"","&lt;/a&gt;")</f>
        <v/>
      </c>
      <c r="Z194" s="42">
        <f>IF(ISBLANK(X194),"",IF(OR(AB194="PASSED",ISBLANK(N194)),"&lt;/b&gt;","&lt;/i&gt;"))</f>
        <v/>
      </c>
      <c r="AA194" s="43">
        <f>IF(AB194="PASSED","&lt;b&gt;","")</f>
        <v/>
      </c>
      <c r="AB194" s="45" t="inlineStr">
        <is>
          <t>INTRODUCED</t>
        </is>
      </c>
      <c r="AC194" s="43">
        <f>IF(AB194="PASSED","&lt;/b&gt;","")</f>
        <v/>
      </c>
      <c r="AD194" s="43">
        <f>IF(ISBLANK(AE194),"","&lt;b&gt;")</f>
        <v/>
      </c>
      <c r="AE194" s="51" t="inlineStr">
        <is>
          <t>02/13</t>
        </is>
      </c>
      <c r="AF194" s="42">
        <f>IF(ISBLANK(AE194),"",": ")</f>
        <v/>
      </c>
      <c r="AG194" s="42" t="inlineStr">
        <is>
          <t>FY27 reduction (-5%)</t>
        </is>
      </c>
      <c r="AH194" s="42">
        <f>IF(ISBLANK(AE194),"","&lt;/b&gt;")</f>
        <v/>
      </c>
      <c r="AI194" s="42" t="n"/>
      <c r="AJ194" s="42">
        <f>IF(ISBLANK(AI194),"","&lt;br&gt;"&amp;AI194)</f>
        <v/>
      </c>
      <c r="AK194" s="4" t="inlineStr">
        <is>
          <t>&lt;br&gt;</t>
        </is>
      </c>
      <c r="AL194" s="42" t="inlineStr">
        <is>
          <t>&lt;b&gt;&lt;i&gt;</t>
        </is>
      </c>
      <c r="AM194" s="42" t="inlineStr">
        <is>
          <t>Governor's 3% + JFAC's 2%</t>
        </is>
      </c>
      <c r="AN194" s="42">
        <f>IF(ISBLANK(AM194),"","&lt;/i&gt;")</f>
        <v/>
      </c>
      <c r="AO194" s="35">
        <f>IF(ISBLANK(AQ194),"","&lt;/b&gt;&lt;br&gt;&lt;br&gt;")</f>
        <v/>
      </c>
      <c r="AP194" s="42">
        <f>IF(ISBLANK(AQ194),"","&lt;b&gt;")</f>
        <v/>
      </c>
      <c r="AQ194" s="47" t="inlineStr">
        <is>
          <t xml:space="preserve">Agency Reduction Plan:&lt;br&gt;Additional </t>
        </is>
      </c>
      <c r="AR194" s="42" t="n">
        <v>2</v>
      </c>
      <c r="AS194" s="4">
        <f>IF(ISBLANK(AR194),""," %")</f>
        <v/>
      </c>
      <c r="AT194" s="4">
        <f t="array" ref="AT194">_xlfn.IFS(NOT(ISBLANK(AU194))," (pgs. ",NOT(ISBLANK(AS194))," (pg. ", ISBLANK(AS194), "")</f>
        <v/>
      </c>
      <c r="AU194" s="48" t="inlineStr">
        <is>
          <t>NA</t>
        </is>
      </c>
      <c r="AV194" s="4">
        <f>IF(ISBLANK(AW194),"",", ")</f>
        <v/>
      </c>
      <c r="AW194" s="42" t="n"/>
      <c r="AX194" s="4">
        <f>IF(ISBLANK(AY194),"",",&lt;br&gt;")</f>
        <v/>
      </c>
      <c r="AY194" s="42" t="n"/>
      <c r="AZ194" s="49">
        <f>IF(ISBLANK(AU194),"",")&lt;/b&gt;")</f>
        <v/>
      </c>
      <c r="BA194" s="4">
        <f>IF(ISBLANK(BC194),"","&lt;br&gt;")</f>
        <v/>
      </c>
      <c r="BB194" s="42">
        <f t="array" ref="BB194">IF(ISBLANK(BC194),"",_xlfn.LET(
_xlpm.words,_xlfn.TEXTSPLIT(TRIM(BC194),"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94" s="50" t="n"/>
    </row>
    <row r="195">
      <c r="A195" s="20">
        <f>_xlfn.TEXTJOIN("", TRUE, F195:H195)</f>
        <v/>
      </c>
      <c r="B195" s="21">
        <f>_xlfn.TEXTJOIN("", TRUE, I195:S195)</f>
        <v/>
      </c>
      <c r="C195" s="21">
        <f>IF(ISBLANK(X195),"", _xlfn.TEXTJOIN("",TRUE,T195:Z195))</f>
        <v/>
      </c>
      <c r="D195" s="21">
        <f>IF(ISBLANK(AB195), "", _xlfn.TEXTJOIN("", TRUE, AA195:AC195))</f>
        <v/>
      </c>
      <c r="E195" s="22">
        <f>IF(AU195="NA", _xlfn.TEXTJOIN("", TRUE, AD195:AH195), _xlfn.TEXTJOIN("", TRUE, AD195:AJ195))</f>
        <v/>
      </c>
      <c r="F195" s="42">
        <f>IF(LEFT(G195,4)="FY26","&lt;b&gt;","&lt;i&gt;")</f>
        <v/>
      </c>
      <c r="G195" s="42" t="inlineStr">
        <is>
          <t>FY27 Maintenance</t>
        </is>
      </c>
      <c r="H195" s="42">
        <f>IF(LEFT(G195,4)="FY26","&lt;/b&gt;","&lt;/i&gt;")</f>
        <v/>
      </c>
      <c r="I195" s="43" t="inlineStr">
        <is>
          <t>&lt;i&gt;</t>
        </is>
      </c>
      <c r="J195" s="44" t="inlineStr">
        <is>
          <t>General Government</t>
        </is>
      </c>
      <c r="K195" s="44" t="inlineStr">
        <is>
          <t>&lt;/i&gt;</t>
        </is>
      </c>
      <c r="L195" s="4">
        <f>IF(ISBLANK(N195),"","&lt;br&gt;")</f>
        <v/>
      </c>
      <c r="M195" s="42">
        <f>IF(ISBLANK(R195),"&lt;b&gt;","&lt;i&gt;")</f>
        <v/>
      </c>
      <c r="N195" s="42" t="inlineStr">
        <is>
          <t>Office of the Governor</t>
        </is>
      </c>
      <c r="O195" s="42">
        <f>IF(ISBLANK(R195),"&lt;/b&gt;","&lt;/i&gt;")</f>
        <v/>
      </c>
      <c r="P195" s="4">
        <f>IF(ISBLANK(R195),"","&lt;br&gt;")</f>
        <v/>
      </c>
      <c r="Q195" s="42">
        <f>IF(ISBLANK(R195),"","&lt;b&gt;")</f>
        <v/>
      </c>
      <c r="R195" s="42" t="inlineStr">
        <is>
          <t>Office of Information Technology Services</t>
        </is>
      </c>
      <c r="S195" s="42">
        <f>IF(ISBLANK(R195),"","&lt;/i&gt;")</f>
        <v/>
      </c>
      <c r="T195" s="43">
        <f>IF(ISBLANK(X195),"",IF(OR(AB195="PASSED",ISBLANK(N195)),"&lt;b&gt;","&lt;i&gt;"))</f>
        <v/>
      </c>
      <c r="U195" s="3">
        <f>IF(ISBLANK(V195),"","&lt;a href='")</f>
        <v/>
      </c>
      <c r="V195" s="13" t="inlineStr">
        <is>
          <t>https://legislature.idaho.gov/sessioninfo/rs/</t>
        </is>
      </c>
      <c r="W195" s="17">
        <f>IF(ISBLANK(V195),"","'&gt;")</f>
        <v/>
      </c>
      <c r="X195" s="12" t="inlineStr">
        <is>
          <t>General Government</t>
        </is>
      </c>
      <c r="Y195" s="17">
        <f>IF(ISBLANK(X195),"","&lt;/a&gt;")</f>
        <v/>
      </c>
      <c r="Z195" s="42">
        <f>IF(ISBLANK(X195),"",IF(OR(AB195="PASSED",ISBLANK(N195)),"&lt;/b&gt;","&lt;/i&gt;"))</f>
        <v/>
      </c>
      <c r="AA195" s="43">
        <f>IF(AB195="PASSED","&lt;b&gt;","")</f>
        <v/>
      </c>
      <c r="AB195" s="45" t="inlineStr">
        <is>
          <t>INTRODUCED</t>
        </is>
      </c>
      <c r="AC195" s="43">
        <f>IF(AB195="PASSED","&lt;/b&gt;","")</f>
        <v/>
      </c>
      <c r="AD195" s="43">
        <f>IF(ISBLANK(AE195),"","&lt;b&gt;")</f>
        <v/>
      </c>
      <c r="AE195" s="51" t="inlineStr">
        <is>
          <t>02/13</t>
        </is>
      </c>
      <c r="AF195" s="42">
        <f>IF(ISBLANK(AE195),"",": ")</f>
        <v/>
      </c>
      <c r="AG195" s="42" t="inlineStr">
        <is>
          <t>FY27 reduction (-5%)</t>
        </is>
      </c>
      <c r="AH195" s="42">
        <f>IF(ISBLANK(AE195),"","&lt;/b&gt;")</f>
        <v/>
      </c>
      <c r="AI195" s="42" t="n"/>
      <c r="AJ195" s="42">
        <f>IF(ISBLANK(AI195),"","&lt;br&gt;"&amp;AI195)</f>
        <v/>
      </c>
      <c r="AK195" s="4" t="inlineStr">
        <is>
          <t>&lt;br&gt;</t>
        </is>
      </c>
      <c r="AL195" s="42" t="inlineStr">
        <is>
          <t>&lt;b&gt;&lt;i&gt;</t>
        </is>
      </c>
      <c r="AM195" s="42" t="inlineStr">
        <is>
          <t>Governor's 3% + JFAC's 2%</t>
        </is>
      </c>
      <c r="AN195" s="42">
        <f>IF(ISBLANK(AM195),"","&lt;/i&gt;")</f>
        <v/>
      </c>
      <c r="AO195" s="35">
        <f>IF(ISBLANK(AQ195),"","&lt;/b&gt;&lt;br&gt;&lt;br&gt;")</f>
        <v/>
      </c>
      <c r="AP195" s="42">
        <f>IF(ISBLANK(AQ195),"","&lt;b&gt;")</f>
        <v/>
      </c>
      <c r="AQ195" s="47" t="inlineStr">
        <is>
          <t xml:space="preserve">Agency Reduction Plan:&lt;br&gt;Additional </t>
        </is>
      </c>
      <c r="AR195" s="42" t="n">
        <v>2</v>
      </c>
      <c r="AS195" s="4">
        <f>IF(ISBLANK(AR195),""," %")</f>
        <v/>
      </c>
      <c r="AT195" s="4">
        <f t="array" ref="AT195">_xlfn.IFS(NOT(ISBLANK(AU195))," (pgs. ",NOT(ISBLANK(AS195))," (pg. ", ISBLANK(AS195), "")</f>
        <v/>
      </c>
      <c r="AU195" s="52" t="n">
        <v>215</v>
      </c>
      <c r="AV195" s="4">
        <f>IF(ISBLANK(AW195),"",", ")</f>
        <v/>
      </c>
      <c r="AW195" s="42" t="n"/>
      <c r="AX195" s="4">
        <f>IF(ISBLANK(AY195),"",",&lt;br&gt;")</f>
        <v/>
      </c>
      <c r="AY195" s="42" t="n"/>
      <c r="AZ195" s="49">
        <f>IF(ISBLANK(AU195),"",")&lt;/b&gt;")</f>
        <v/>
      </c>
      <c r="BA195" s="4">
        <f>IF(ISBLANK(BC195),"","&lt;br&gt;")</f>
        <v/>
      </c>
      <c r="BB195" s="42">
        <f t="array" ref="BB195">IF(ISBLANK(BC195),"",_xlfn.LET(
_xlpm.words,_xlfn.TEXTSPLIT(TRIM(BC195),"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95" s="50" t="inlineStr">
        <is>
          <t>This plan protects the personnel budget as all positions and labor hours are critical to fulfilling our mission, and it excludes reductions to critical line-item projects in progress as part of our combined FY 2026 and FY 2027 plan to sustain critical services during this challenging budget period. To fulfill this additional budget reduction, ITS would further reduce expenditures within the employee travel/training portion of our spending plan, which includes employee travel, employee development, and both individual and group memberships. 69% of the ITS travel plan is for essential IT support of the statewide network, agency customers and necessary memberships. This includes on-site support of network and customers, deployment of computers and networking equipment, multi-partner cybersecurity drills, and required administrative travel. The other 31% is to ensure employees are current with skills and knowledge with constantly developing IT industry standards to reduce statewide risks of cyber threats and maintain statewide employee productivity. Funding reductions would be from the later 31% until prioritized funding becomes available. These additional reductions would increase risks of outdated critical knowledge and delayed customer support. Within this area, ITS also rents vehicles to provide necessary customer support given the limited number of vehicles in the fleet. For FY 2026, ITS has already placed a freeze on all non-essential travel (as described above) as we work through an internal FY 2026-2027 critical services plan to sustain the statewide network and manage risks. Any further reductions will limit resources to solve that critical services effort.</t>
        </is>
      </c>
    </row>
    <row r="196">
      <c r="A196" s="20">
        <f>_xlfn.TEXTJOIN("", TRUE, F196:H196)</f>
        <v/>
      </c>
      <c r="B196" s="21">
        <f>_xlfn.TEXTJOIN("", TRUE, I196:S196)</f>
        <v/>
      </c>
      <c r="C196" s="21">
        <f>IF(ISBLANK(X196),"", _xlfn.TEXTJOIN("",TRUE,T196:Z196))</f>
        <v/>
      </c>
      <c r="D196" s="21">
        <f>IF(ISBLANK(AB196), "", _xlfn.TEXTJOIN("", TRUE, AA196:AC196))</f>
        <v/>
      </c>
      <c r="E196" s="22">
        <f>IF(AU196="NA", _xlfn.TEXTJOIN("", TRUE, AD196:AH196), _xlfn.TEXTJOIN("", TRUE, AD196:AJ196))</f>
        <v/>
      </c>
      <c r="F196" s="42">
        <f>IF(LEFT(G196,4)="FY26","&lt;b&gt;","&lt;i&gt;")</f>
        <v/>
      </c>
      <c r="G196" s="42" t="inlineStr">
        <is>
          <t>FY27 Maintenance</t>
        </is>
      </c>
      <c r="H196" s="42">
        <f>IF(LEFT(G196,4)="FY26","&lt;/b&gt;","&lt;/i&gt;")</f>
        <v/>
      </c>
      <c r="I196" s="43" t="inlineStr">
        <is>
          <t>&lt;i&gt;</t>
        </is>
      </c>
      <c r="J196" s="44" t="inlineStr">
        <is>
          <t>General Government</t>
        </is>
      </c>
      <c r="K196" s="44" t="inlineStr">
        <is>
          <t>&lt;/i&gt;</t>
        </is>
      </c>
      <c r="L196" s="4">
        <f>IF(ISBLANK(N196),"","&lt;br&gt;")</f>
        <v/>
      </c>
      <c r="M196" s="42">
        <f>IF(ISBLANK(R196),"&lt;b&gt;","&lt;i&gt;")</f>
        <v/>
      </c>
      <c r="N196" s="42" t="inlineStr">
        <is>
          <t>Office of the Governor</t>
        </is>
      </c>
      <c r="O196" s="42">
        <f>IF(ISBLANK(R196),"&lt;/b&gt;","&lt;/i&gt;")</f>
        <v/>
      </c>
      <c r="P196" s="4">
        <f>IF(ISBLANK(R196),"","&lt;br&gt;")</f>
        <v/>
      </c>
      <c r="Q196" s="42">
        <f>IF(ISBLANK(R196),"","&lt;b&gt;")</f>
        <v/>
      </c>
      <c r="R196" s="42" t="inlineStr">
        <is>
          <t>Office of Species Conservation</t>
        </is>
      </c>
      <c r="S196" s="42">
        <f>IF(ISBLANK(R196),"","&lt;/i&gt;")</f>
        <v/>
      </c>
      <c r="T196" s="43">
        <f>IF(ISBLANK(X196),"",IF(OR(AB196="PASSED",ISBLANK(N196)),"&lt;b&gt;","&lt;i&gt;"))</f>
        <v/>
      </c>
      <c r="U196" s="3">
        <f>IF(ISBLANK(V196),"","&lt;a href='")</f>
        <v/>
      </c>
      <c r="V196" s="13" t="inlineStr">
        <is>
          <t>https://legislature.idaho.gov/sessioninfo/rs/</t>
        </is>
      </c>
      <c r="W196" s="17">
        <f>IF(ISBLANK(V196),"","'&gt;")</f>
        <v/>
      </c>
      <c r="X196" s="12" t="inlineStr">
        <is>
          <t>General Government</t>
        </is>
      </c>
      <c r="Y196" s="17">
        <f>IF(ISBLANK(X196),"","&lt;/a&gt;")</f>
        <v/>
      </c>
      <c r="Z196" s="42">
        <f>IF(ISBLANK(X196),"",IF(OR(AB196="PASSED",ISBLANK(N196)),"&lt;/b&gt;","&lt;/i&gt;"))</f>
        <v/>
      </c>
      <c r="AA196" s="43">
        <f>IF(AB196="PASSED","&lt;b&gt;","")</f>
        <v/>
      </c>
      <c r="AB196" s="45" t="inlineStr">
        <is>
          <t>INTRODUCED</t>
        </is>
      </c>
      <c r="AC196" s="43">
        <f>IF(AB196="PASSED","&lt;/b&gt;","")</f>
        <v/>
      </c>
      <c r="AD196" s="43">
        <f>IF(ISBLANK(AE196),"","&lt;b&gt;")</f>
        <v/>
      </c>
      <c r="AE196" s="51" t="inlineStr">
        <is>
          <t>02/13</t>
        </is>
      </c>
      <c r="AF196" s="42">
        <f>IF(ISBLANK(AE196),"",": ")</f>
        <v/>
      </c>
      <c r="AG196" s="42" t="inlineStr">
        <is>
          <t>FY27 reduction (-5%)</t>
        </is>
      </c>
      <c r="AH196" s="42">
        <f>IF(ISBLANK(AE196),"","&lt;/b&gt;")</f>
        <v/>
      </c>
      <c r="AI196" s="42" t="n"/>
      <c r="AJ196" s="42">
        <f>IF(ISBLANK(AI196),"","&lt;br&gt;"&amp;AI196)</f>
        <v/>
      </c>
      <c r="AK196" s="4" t="inlineStr">
        <is>
          <t>&lt;br&gt;</t>
        </is>
      </c>
      <c r="AL196" s="42" t="inlineStr">
        <is>
          <t>&lt;b&gt;&lt;i&gt;</t>
        </is>
      </c>
      <c r="AM196" s="42" t="inlineStr">
        <is>
          <t>Governor's 3% + JFAC's 2%</t>
        </is>
      </c>
      <c r="AN196" s="42">
        <f>IF(ISBLANK(AM196),"","&lt;/i&gt;")</f>
        <v/>
      </c>
      <c r="AO196" s="35">
        <f>IF(ISBLANK(AQ196),"","&lt;/b&gt;&lt;br&gt;&lt;br&gt;")</f>
        <v/>
      </c>
      <c r="AP196" s="42">
        <f>IF(ISBLANK(AQ196),"","&lt;b&gt;")</f>
        <v/>
      </c>
      <c r="AQ196" s="47" t="inlineStr">
        <is>
          <t xml:space="preserve">Agency Reduction Plan:&lt;br&gt;Additional </t>
        </is>
      </c>
      <c r="AR196" s="42" t="n">
        <v>2</v>
      </c>
      <c r="AS196" s="4">
        <f>IF(ISBLANK(AR196),""," %")</f>
        <v/>
      </c>
      <c r="AT196" s="4">
        <f t="array" ref="AT196">_xlfn.IFS(NOT(ISBLANK(AU196))," (pgs. ",NOT(ISBLANK(AS196))," (pg. ", ISBLANK(AS196), "")</f>
        <v/>
      </c>
      <c r="AU196" s="52" t="n">
        <v>217</v>
      </c>
      <c r="AV196" s="4">
        <f>IF(ISBLANK(AW196),"",", ")</f>
        <v/>
      </c>
      <c r="AW196" s="42" t="n"/>
      <c r="AX196" s="4">
        <f>IF(ISBLANK(AY196),"",",&lt;br&gt;")</f>
        <v/>
      </c>
      <c r="AY196" s="42" t="n"/>
      <c r="AZ196" s="49">
        <f>IF(ISBLANK(AU196),"",")&lt;/b&gt;")</f>
        <v/>
      </c>
      <c r="BA196" s="4">
        <f>IF(ISBLANK(BC196),"","&lt;br&gt;")</f>
        <v/>
      </c>
      <c r="BB196" s="42">
        <f t="array" ref="BB196">IF(ISBLANK(BC196),"",_xlfn.LET(
_xlpm.words,_xlfn.TEXTSPLIT(TRIM(BC196),"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96" s="50" t="inlineStr">
        <is>
          <t>General fund budget reductions will impact the Terrestrial program resulting in less stakeholder engagement. For FY26 the sage-grouse program has obligated the all of the general funding available through agreements. If the program needs to reduce 1 – 2% for FY26, the program will need to take away funding from projects that we have agreed to fund and are planned to be implemented before June. This would remove funding that is helping private landowners with sage-grouse habitat restoration or funding that has been identified to help the Rangeland Fire Protection Associations with personal protective equipment (PPE) and radios for communications when fighting wildfire.</t>
        </is>
      </c>
    </row>
    <row r="197">
      <c r="A197" s="20">
        <f>_xlfn.TEXTJOIN("", TRUE, F197:H197)</f>
        <v/>
      </c>
      <c r="B197" s="21">
        <f>_xlfn.TEXTJOIN("", TRUE, I197:S197)</f>
        <v/>
      </c>
      <c r="C197" s="21">
        <f>IF(ISBLANK(X197),"", _xlfn.TEXTJOIN("",TRUE,T197:Z197))</f>
        <v/>
      </c>
      <c r="D197" s="21">
        <f>IF(ISBLANK(AB197), "", _xlfn.TEXTJOIN("", TRUE, AA197:AC197))</f>
        <v/>
      </c>
      <c r="E197" s="22">
        <f>IF(AU197="NA", _xlfn.TEXTJOIN("", TRUE, AD197:AH197), _xlfn.TEXTJOIN("", TRUE, AD197:AJ197))</f>
        <v/>
      </c>
      <c r="F197" s="42">
        <f>IF(LEFT(G197,4)="FY26","&lt;b&gt;","&lt;i&gt;")</f>
        <v/>
      </c>
      <c r="G197" s="42" t="inlineStr">
        <is>
          <t>FY27 Maintenance</t>
        </is>
      </c>
      <c r="H197" s="42">
        <f>IF(LEFT(G197,4)="FY26","&lt;/b&gt;","&lt;/i&gt;")</f>
        <v/>
      </c>
      <c r="I197" s="43" t="inlineStr">
        <is>
          <t>&lt;i&gt;</t>
        </is>
      </c>
      <c r="J197" s="44" t="inlineStr">
        <is>
          <t>General Government</t>
        </is>
      </c>
      <c r="K197" s="44" t="inlineStr">
        <is>
          <t>&lt;/i&gt;</t>
        </is>
      </c>
      <c r="L197" s="4">
        <f>IF(ISBLANK(N197),"","&lt;br&gt;")</f>
        <v/>
      </c>
      <c r="M197" s="42">
        <f>IF(ISBLANK(R197),"&lt;b&gt;","&lt;i&gt;")</f>
        <v/>
      </c>
      <c r="N197" s="42" t="inlineStr">
        <is>
          <t>Office of the Governor</t>
        </is>
      </c>
      <c r="O197" s="42">
        <f>IF(ISBLANK(R197),"&lt;/b&gt;","&lt;/i&gt;")</f>
        <v/>
      </c>
      <c r="P197" s="4">
        <f>IF(ISBLANK(R197),"","&lt;br&gt;")</f>
        <v/>
      </c>
      <c r="Q197" s="42">
        <f>IF(ISBLANK(R197),"","&lt;b&gt;")</f>
        <v/>
      </c>
      <c r="R197" s="42" t="inlineStr">
        <is>
          <t>Public Employee Retirement System</t>
        </is>
      </c>
      <c r="S197" s="42">
        <f>IF(ISBLANK(R197),"","&lt;/i&gt;")</f>
        <v/>
      </c>
      <c r="T197" s="43">
        <f>IF(ISBLANK(X197),"",IF(OR(AB197="PASSED",ISBLANK(N197)),"&lt;b&gt;","&lt;i&gt;"))</f>
        <v/>
      </c>
      <c r="U197" s="3">
        <f>IF(ISBLANK(V197),"","&lt;a href='")</f>
        <v/>
      </c>
      <c r="V197" s="55" t="inlineStr">
        <is>
          <t>https://legislature.idaho.gov/sessioninfo/rs/</t>
        </is>
      </c>
      <c r="W197" s="17">
        <f>IF(ISBLANK(V197),"","'&gt;")</f>
        <v/>
      </c>
      <c r="X197" s="12" t="inlineStr">
        <is>
          <t>General Government</t>
        </is>
      </c>
      <c r="Y197" s="17">
        <f>IF(ISBLANK(X197),"","&lt;/a&gt;")</f>
        <v/>
      </c>
      <c r="Z197" s="42">
        <f>IF(ISBLANK(X197),"",IF(OR(AB197="PASSED",ISBLANK(N197)),"&lt;/b&gt;","&lt;/i&gt;"))</f>
        <v/>
      </c>
      <c r="AA197" s="43">
        <f>IF(AB197="PASSED","&lt;b&gt;","")</f>
        <v/>
      </c>
      <c r="AB197" s="45" t="inlineStr">
        <is>
          <t>INTRODUCED</t>
        </is>
      </c>
      <c r="AC197" s="43">
        <f>IF(AB197="PASSED","&lt;/b&gt;","")</f>
        <v/>
      </c>
      <c r="AD197" s="43">
        <f>IF(ISBLANK(AE197),"","&lt;b&gt;")</f>
        <v/>
      </c>
      <c r="AE197" s="51" t="inlineStr">
        <is>
          <t>02/13</t>
        </is>
      </c>
      <c r="AF197" s="42">
        <f>IF(ISBLANK(AE197),"",": ")</f>
        <v/>
      </c>
      <c r="AG197" s="42" t="inlineStr">
        <is>
          <t>FY27 reduction (-5%)</t>
        </is>
      </c>
      <c r="AH197" s="42">
        <f>IF(ISBLANK(AE197),"","&lt;/b&gt;")</f>
        <v/>
      </c>
      <c r="AI197" s="42" t="n"/>
      <c r="AJ197" s="42">
        <f>IF(ISBLANK(AI197),"","&lt;br&gt;"&amp;AI197)</f>
        <v/>
      </c>
      <c r="AK197" s="4" t="inlineStr">
        <is>
          <t>&lt;br&gt;</t>
        </is>
      </c>
      <c r="AL197" s="42" t="inlineStr">
        <is>
          <t>&lt;b&gt;&lt;i&gt;</t>
        </is>
      </c>
      <c r="AM197" s="42" t="inlineStr">
        <is>
          <t>Governor's 3% + JFAC's 2%</t>
        </is>
      </c>
      <c r="AN197" s="42">
        <f>IF(ISBLANK(AM197),"","&lt;/i&gt;")</f>
        <v/>
      </c>
      <c r="AO197" s="35">
        <f>IF(ISBLANK(AQ197),"","&lt;/b&gt;&lt;br&gt;&lt;br&gt;")</f>
        <v/>
      </c>
      <c r="AP197" s="42">
        <f>IF(ISBLANK(AQ197),"","&lt;b&gt;")</f>
        <v/>
      </c>
      <c r="AQ197" s="47" t="inlineStr">
        <is>
          <t xml:space="preserve">Agency Reduction Plan:&lt;br&gt;Additional </t>
        </is>
      </c>
      <c r="AR197" s="42" t="n">
        <v>2</v>
      </c>
      <c r="AS197" s="4">
        <f>IF(ISBLANK(AR197),""," %")</f>
        <v/>
      </c>
      <c r="AT197" s="4">
        <f t="array" ref="AT197">_xlfn.IFS(NOT(ISBLANK(AU197))," (pgs. ",NOT(ISBLANK(AS197))," (pg. ", ISBLANK(AS197), "")</f>
        <v/>
      </c>
      <c r="AU197" s="52" t="inlineStr">
        <is>
          <t>NA</t>
        </is>
      </c>
      <c r="AV197" s="4">
        <f>IF(ISBLANK(AW197),"",", ")</f>
        <v/>
      </c>
      <c r="AW197" s="42" t="n"/>
      <c r="AX197" s="4">
        <f>IF(ISBLANK(AY197),"",",&lt;br&gt;")</f>
        <v/>
      </c>
      <c r="AY197" s="42" t="n"/>
      <c r="AZ197" s="49">
        <f>IF(ISBLANK(AU197),"",")&lt;/b&gt;")</f>
        <v/>
      </c>
      <c r="BA197" s="4">
        <f>IF(ISBLANK(BC197),"","&lt;br&gt;")</f>
        <v/>
      </c>
      <c r="BB197" s="42">
        <f t="array" ref="BB197">IF(ISBLANK(BC197),"",_xlfn.LET(
_xlpm.words,_xlfn.TEXTSPLIT(TRIM(BC197),"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97" s="50" t="n"/>
    </row>
    <row r="198">
      <c r="A198" s="20">
        <f>_xlfn.TEXTJOIN("", TRUE, F198:H198)</f>
        <v/>
      </c>
      <c r="B198" s="21">
        <f>_xlfn.TEXTJOIN("", TRUE, I198:S198)</f>
        <v/>
      </c>
      <c r="C198" s="21">
        <f>IF(ISBLANK(X198),"", _xlfn.TEXTJOIN("",TRUE,T198:Z198))</f>
        <v/>
      </c>
      <c r="D198" s="21">
        <f>IF(ISBLANK(AB198), "", _xlfn.TEXTJOIN("", TRUE, AA198:AC198))</f>
        <v/>
      </c>
      <c r="E198" s="22">
        <f>IF(AU198="NA", _xlfn.TEXTJOIN("", TRUE, AD198:AH198), _xlfn.TEXTJOIN("", TRUE, AD198:AJ198))</f>
        <v/>
      </c>
      <c r="F198" s="42">
        <f>IF(LEFT(G198,4)="FY26","&lt;b&gt;","&lt;i&gt;")</f>
        <v/>
      </c>
      <c r="G198" s="42" t="inlineStr">
        <is>
          <t>FY27 Maintenance</t>
        </is>
      </c>
      <c r="H198" s="42">
        <f>IF(LEFT(G198,4)="FY26","&lt;/b&gt;","&lt;/i&gt;")</f>
        <v/>
      </c>
      <c r="I198" s="43" t="inlineStr">
        <is>
          <t>&lt;i&gt;</t>
        </is>
      </c>
      <c r="J198" s="44" t="inlineStr">
        <is>
          <t>General Government</t>
        </is>
      </c>
      <c r="K198" s="44" t="inlineStr">
        <is>
          <t>&lt;/i&gt;</t>
        </is>
      </c>
      <c r="L198" s="4">
        <f>IF(ISBLANK(N198),"","&lt;br&gt;")</f>
        <v/>
      </c>
      <c r="M198" s="42">
        <f>IF(ISBLANK(R198),"&lt;b&gt;","&lt;i&gt;")</f>
        <v/>
      </c>
      <c r="N198" s="42" t="inlineStr">
        <is>
          <t>Office of the Governor</t>
        </is>
      </c>
      <c r="O198" s="42">
        <f>IF(ISBLANK(R198),"&lt;/b&gt;","&lt;/i&gt;")</f>
        <v/>
      </c>
      <c r="P198" s="4">
        <f>IF(ISBLANK(R198),"","&lt;br&gt;")</f>
        <v/>
      </c>
      <c r="Q198" s="42">
        <f>IF(ISBLANK(R198),"","&lt;b&gt;")</f>
        <v/>
      </c>
      <c r="R198" s="42" t="inlineStr">
        <is>
          <t>STEM Action Center</t>
        </is>
      </c>
      <c r="S198" s="42">
        <f>IF(ISBLANK(R198),"","&lt;/i&gt;")</f>
        <v/>
      </c>
      <c r="T198" s="43">
        <f>IF(ISBLANK(X198),"",IF(OR(AB198="PASSED",ISBLANK(N198)),"&lt;b&gt;","&lt;i&gt;"))</f>
        <v/>
      </c>
      <c r="U198" s="3">
        <f>IF(ISBLANK(V198),"","&lt;a href='")</f>
        <v/>
      </c>
      <c r="V198" s="55" t="inlineStr">
        <is>
          <t>https://legislature.idaho.gov/sessioninfo/rs/</t>
        </is>
      </c>
      <c r="W198" s="17">
        <f>IF(ISBLANK(V198),"","'&gt;")</f>
        <v/>
      </c>
      <c r="X198" s="12" t="inlineStr">
        <is>
          <t>General Government</t>
        </is>
      </c>
      <c r="Y198" s="17">
        <f>IF(ISBLANK(X198),"","&lt;/a&gt;")</f>
        <v/>
      </c>
      <c r="Z198" s="42">
        <f>IF(ISBLANK(X198),"",IF(OR(AB198="PASSED",ISBLANK(N198)),"&lt;/b&gt;","&lt;/i&gt;"))</f>
        <v/>
      </c>
      <c r="AA198" s="43">
        <f>IF(AB198="PASSED","&lt;b&gt;","")</f>
        <v/>
      </c>
      <c r="AB198" s="45" t="inlineStr">
        <is>
          <t>INTRODUCED</t>
        </is>
      </c>
      <c r="AC198" s="43">
        <f>IF(AB198="PASSED","&lt;/b&gt;","")</f>
        <v/>
      </c>
      <c r="AD198" s="43">
        <f>IF(ISBLANK(AE198),"","&lt;b&gt;")</f>
        <v/>
      </c>
      <c r="AE198" s="51" t="inlineStr">
        <is>
          <t>02/13</t>
        </is>
      </c>
      <c r="AF198" s="42">
        <f>IF(ISBLANK(AE198),"",": ")</f>
        <v/>
      </c>
      <c r="AG198" s="42" t="inlineStr">
        <is>
          <t>FY27 reduction (-5%)</t>
        </is>
      </c>
      <c r="AH198" s="42">
        <f>IF(ISBLANK(AE198),"","&lt;/b&gt;")</f>
        <v/>
      </c>
      <c r="AI198" s="42" t="n"/>
      <c r="AJ198" s="42">
        <f>IF(ISBLANK(AI198),"","&lt;br&gt;"&amp;AI198)</f>
        <v/>
      </c>
      <c r="AK198" s="4" t="inlineStr">
        <is>
          <t>&lt;br&gt;</t>
        </is>
      </c>
      <c r="AL198" s="42" t="inlineStr">
        <is>
          <t>&lt;b&gt;&lt;i&gt;</t>
        </is>
      </c>
      <c r="AM198" s="42" t="inlineStr">
        <is>
          <t>Governor's 3% + JFAC's 2%</t>
        </is>
      </c>
      <c r="AN198" s="42">
        <f>IF(ISBLANK(AM198),"","&lt;/i&gt;")</f>
        <v/>
      </c>
      <c r="AO198" s="35">
        <f>IF(ISBLANK(AQ198),"","&lt;/b&gt;&lt;br&gt;&lt;br&gt;")</f>
        <v/>
      </c>
      <c r="AP198" s="42">
        <f>IF(ISBLANK(AQ198),"","&lt;b&gt;")</f>
        <v/>
      </c>
      <c r="AQ198" s="47" t="inlineStr">
        <is>
          <t xml:space="preserve">Agency Reduction Plan:&lt;br&gt;Additional </t>
        </is>
      </c>
      <c r="AR198" s="42" t="n">
        <v>2</v>
      </c>
      <c r="AS198" s="4">
        <f>IF(ISBLANK(AR198),""," %")</f>
        <v/>
      </c>
      <c r="AT198" s="4">
        <f t="array" ref="AT198">_xlfn.IFS(NOT(ISBLANK(AU198))," (pgs. ",NOT(ISBLANK(AS198))," (pg. ", ISBLANK(AS198), "")</f>
        <v/>
      </c>
      <c r="AU198" s="52" t="n">
        <v>220</v>
      </c>
      <c r="AV198" s="4">
        <f>IF(ISBLANK(AW198),"",", ")</f>
        <v/>
      </c>
      <c r="AW198" s="42" t="n"/>
      <c r="AX198" s="4">
        <f>IF(ISBLANK(AY198),"",",&lt;br&gt;")</f>
        <v/>
      </c>
      <c r="AY198" s="42" t="n"/>
      <c r="AZ198" s="49">
        <f>IF(ISBLANK(AU198),"",")&lt;/b&gt;")</f>
        <v/>
      </c>
      <c r="BA198" s="4">
        <f>IF(ISBLANK(BC198),"","&lt;br&gt;")</f>
        <v/>
      </c>
      <c r="BB198" s="42">
        <f t="array" ref="BB198">IF(ISBLANK(BC198),"",_xlfn.LET(
_xlpm.words,_xlfn.TEXTSPLIT(TRIM(BC198),"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98" s="50" t="inlineStr">
        <is>
          <t>This salary savings is a part of the 2.0 FTP that the STEM AC is planning to return via pending consolidation legislation with the Workforce Development Council. It is the maximum amount STEM AC can reduce without leaving the agency at risk of any uncertain payroll actions such as turnover, vacation payout, or overtime.</t>
        </is>
      </c>
    </row>
    <row r="199">
      <c r="A199" s="20">
        <f>_xlfn.TEXTJOIN("", TRUE, F199:H199)</f>
        <v/>
      </c>
      <c r="B199" s="21">
        <f>_xlfn.TEXTJOIN("", TRUE, I199:S199)</f>
        <v/>
      </c>
      <c r="C199" s="21">
        <f>IF(ISBLANK(X199),"", _xlfn.TEXTJOIN("",TRUE,T199:Z199))</f>
        <v/>
      </c>
      <c r="D199" s="21">
        <f>IF(ISBLANK(AB199), "", _xlfn.TEXTJOIN("", TRUE, AA199:AC199))</f>
        <v/>
      </c>
      <c r="E199" s="22">
        <f>IF(AU199="NA", _xlfn.TEXTJOIN("", TRUE, AD199:AH199), _xlfn.TEXTJOIN("", TRUE, AD199:AJ199))</f>
        <v/>
      </c>
      <c r="F199" s="42">
        <f>IF(LEFT(G199,4)="FY26","&lt;b&gt;","&lt;i&gt;")</f>
        <v/>
      </c>
      <c r="G199" s="42" t="inlineStr">
        <is>
          <t>FY27 Maintenance</t>
        </is>
      </c>
      <c r="H199" s="42">
        <f>IF(LEFT(G199,4)="FY26","&lt;/b&gt;","&lt;/i&gt;")</f>
        <v/>
      </c>
      <c r="I199" s="43" t="inlineStr">
        <is>
          <t>&lt;i&gt;</t>
        </is>
      </c>
      <c r="J199" s="44" t="inlineStr">
        <is>
          <t>General Government</t>
        </is>
      </c>
      <c r="K199" s="44" t="inlineStr">
        <is>
          <t>&lt;/i&gt;</t>
        </is>
      </c>
      <c r="L199" s="4">
        <f>IF(ISBLANK(N199),"","&lt;br&gt;")</f>
        <v/>
      </c>
      <c r="M199" s="42">
        <f>IF(ISBLANK(R199),"&lt;b&gt;","&lt;i&gt;")</f>
        <v/>
      </c>
      <c r="N199" s="42" t="inlineStr">
        <is>
          <t>Office of the Governor</t>
        </is>
      </c>
      <c r="O199" s="42">
        <f>IF(ISBLANK(R199),"&lt;/b&gt;","&lt;/i&gt;")</f>
        <v/>
      </c>
      <c r="P199" s="4">
        <f>IF(ISBLANK(R199),"","&lt;br&gt;")</f>
        <v/>
      </c>
      <c r="Q199" s="42">
        <f>IF(ISBLANK(R199),"","&lt;b&gt;")</f>
        <v/>
      </c>
      <c r="R199" s="42" t="inlineStr">
        <is>
          <t>State Liquor Div.</t>
        </is>
      </c>
      <c r="S199" s="42">
        <f>IF(ISBLANK(R199),"","&lt;/i&gt;")</f>
        <v/>
      </c>
      <c r="T199" s="43">
        <f>IF(ISBLANK(X199),"",IF(OR(AB199="PASSED",ISBLANK(N199)),"&lt;b&gt;","&lt;i&gt;"))</f>
        <v/>
      </c>
      <c r="U199" s="3">
        <f>IF(ISBLANK(V199),"","&lt;a href='")</f>
        <v/>
      </c>
      <c r="V199" s="55" t="inlineStr">
        <is>
          <t>https://legislature.idaho.gov/sessioninfo/rs/</t>
        </is>
      </c>
      <c r="W199" s="17">
        <f>IF(ISBLANK(V199),"","'&gt;")</f>
        <v/>
      </c>
      <c r="X199" s="12" t="inlineStr">
        <is>
          <t>General Government</t>
        </is>
      </c>
      <c r="Y199" s="17">
        <f>IF(ISBLANK(X199),"","&lt;/a&gt;")</f>
        <v/>
      </c>
      <c r="Z199" s="42">
        <f>IF(ISBLANK(X199),"",IF(OR(AB199="PASSED",ISBLANK(N199)),"&lt;/b&gt;","&lt;/i&gt;"))</f>
        <v/>
      </c>
      <c r="AA199" s="43">
        <f>IF(AB199="PASSED","&lt;b&gt;","")</f>
        <v/>
      </c>
      <c r="AB199" s="45" t="inlineStr">
        <is>
          <t>INTRODUCED</t>
        </is>
      </c>
      <c r="AC199" s="43">
        <f>IF(AB199="PASSED","&lt;/b&gt;","")</f>
        <v/>
      </c>
      <c r="AD199" s="43">
        <f>IF(ISBLANK(AE199),"","&lt;b&gt;")</f>
        <v/>
      </c>
      <c r="AE199" s="51" t="inlineStr">
        <is>
          <t>02/13</t>
        </is>
      </c>
      <c r="AF199" s="42">
        <f>IF(ISBLANK(AE199),"",": ")</f>
        <v/>
      </c>
      <c r="AG199" s="42" t="inlineStr">
        <is>
          <t>FY27 reduction (-5%)</t>
        </is>
      </c>
      <c r="AH199" s="42">
        <f>IF(ISBLANK(AE199),"","&lt;/b&gt;")</f>
        <v/>
      </c>
      <c r="AI199" s="42" t="n"/>
      <c r="AJ199" s="42">
        <f>IF(ISBLANK(AI199),"","&lt;br&gt;"&amp;AI199)</f>
        <v/>
      </c>
      <c r="AK199" s="4" t="inlineStr">
        <is>
          <t>&lt;br&gt;</t>
        </is>
      </c>
      <c r="AL199" s="42" t="inlineStr">
        <is>
          <t>&lt;b&gt;&lt;i&gt;</t>
        </is>
      </c>
      <c r="AM199" s="42" t="inlineStr">
        <is>
          <t>Governor's 3% + JFAC's 2%</t>
        </is>
      </c>
      <c r="AN199" s="42">
        <f>IF(ISBLANK(AM199),"","&lt;/i&gt;")</f>
        <v/>
      </c>
      <c r="AO199" s="35">
        <f>IF(ISBLANK(AQ199),"","&lt;/b&gt;&lt;br&gt;&lt;br&gt;")</f>
        <v/>
      </c>
      <c r="AP199" s="42">
        <f>IF(ISBLANK(AQ199),"","&lt;b&gt;")</f>
        <v/>
      </c>
      <c r="AQ199" s="47" t="inlineStr">
        <is>
          <t xml:space="preserve">Agency Reduction Plan:&lt;br&gt;Additional </t>
        </is>
      </c>
      <c r="AR199" s="42" t="n">
        <v>2</v>
      </c>
      <c r="AS199" s="4">
        <f>IF(ISBLANK(AR199),""," %")</f>
        <v/>
      </c>
      <c r="AT199" s="4">
        <f t="array" ref="AT199">_xlfn.IFS(NOT(ISBLANK(AU199))," (pgs. ",NOT(ISBLANK(AS199))," (pg. ", ISBLANK(AS199), "")</f>
        <v/>
      </c>
      <c r="AU199" s="52" t="inlineStr">
        <is>
          <t>NA</t>
        </is>
      </c>
      <c r="AV199" s="4">
        <f>IF(ISBLANK(AW199),"",", ")</f>
        <v/>
      </c>
      <c r="AW199" s="42" t="n"/>
      <c r="AX199" s="4">
        <f>IF(ISBLANK(AY199),"",",&lt;br&gt;")</f>
        <v/>
      </c>
      <c r="AY199" s="42" t="n"/>
      <c r="AZ199" s="49">
        <f>IF(ISBLANK(AU199),"",")&lt;/b&gt;")</f>
        <v/>
      </c>
      <c r="BA199" s="4">
        <f>IF(ISBLANK(BC199),"","&lt;br&gt;")</f>
        <v/>
      </c>
      <c r="BB199" s="42">
        <f t="array" ref="BB199">IF(ISBLANK(BC199),"",_xlfn.LET(
_xlpm.words,_xlfn.TEXTSPLIT(TRIM(BC199),"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199" s="50" t="n"/>
    </row>
    <row r="200">
      <c r="A200" s="20">
        <f>_xlfn.TEXTJOIN("", TRUE, F200:H200)</f>
        <v/>
      </c>
      <c r="B200" s="21">
        <f>_xlfn.TEXTJOIN("", TRUE, I200:S200)</f>
        <v/>
      </c>
      <c r="C200" s="21">
        <f>IF(ISBLANK(X200),"", _xlfn.TEXTJOIN("",TRUE,T200:Z200))</f>
        <v/>
      </c>
      <c r="D200" s="21">
        <f>IF(ISBLANK(AB200), "", _xlfn.TEXTJOIN("", TRUE, AA200:AC200))</f>
        <v/>
      </c>
      <c r="E200" s="22">
        <f>IF(AU200="NA", _xlfn.TEXTJOIN("", TRUE, AD200:AH200), _xlfn.TEXTJOIN("", TRUE, AD200:AJ200))</f>
        <v/>
      </c>
      <c r="F200" s="42">
        <f>IF(LEFT(G200,4)="FY26","&lt;b&gt;","&lt;i&gt;")</f>
        <v/>
      </c>
      <c r="G200" s="42" t="inlineStr">
        <is>
          <t>FY27 Maintenance</t>
        </is>
      </c>
      <c r="H200" s="42">
        <f>IF(LEFT(G200,4)="FY26","&lt;/b&gt;","&lt;/i&gt;")</f>
        <v/>
      </c>
      <c r="I200" s="43" t="inlineStr">
        <is>
          <t>&lt;i&gt;</t>
        </is>
      </c>
      <c r="J200" s="44" t="inlineStr">
        <is>
          <t>General Government</t>
        </is>
      </c>
      <c r="K200" s="44" t="inlineStr">
        <is>
          <t>&lt;/i&gt;</t>
        </is>
      </c>
      <c r="L200" s="4">
        <f>IF(ISBLANK(N200),"","&lt;br&gt;")</f>
        <v/>
      </c>
      <c r="M200" s="42">
        <f>IF(ISBLANK(R200),"&lt;b&gt;","&lt;i&gt;")</f>
        <v/>
      </c>
      <c r="N200" s="42" t="inlineStr">
        <is>
          <t>Office of the Governor</t>
        </is>
      </c>
      <c r="O200" s="42">
        <f>IF(ISBLANK(R200),"&lt;/b&gt;","&lt;/i&gt;")</f>
        <v/>
      </c>
      <c r="P200" s="4">
        <f>IF(ISBLANK(R200),"","&lt;br&gt;")</f>
        <v/>
      </c>
      <c r="Q200" s="42">
        <f>IF(ISBLANK(R200),"","&lt;b&gt;")</f>
        <v/>
      </c>
      <c r="R200" s="42" t="inlineStr">
        <is>
          <t>Wolf Depredation Control Board</t>
        </is>
      </c>
      <c r="S200" s="42">
        <f>IF(ISBLANK(R200),"","&lt;/i&gt;")</f>
        <v/>
      </c>
      <c r="T200" s="43">
        <f>IF(ISBLANK(X200),"",IF(OR(AB200="PASSED",ISBLANK(N200)),"&lt;b&gt;","&lt;i&gt;"))</f>
        <v/>
      </c>
      <c r="U200" s="3">
        <f>IF(ISBLANK(V200),"","&lt;a href='")</f>
        <v/>
      </c>
      <c r="V200" s="55" t="inlineStr">
        <is>
          <t>https://legislature.idaho.gov/sessioninfo/rs/</t>
        </is>
      </c>
      <c r="W200" s="17">
        <f>IF(ISBLANK(V200),"","'&gt;")</f>
        <v/>
      </c>
      <c r="X200" s="12" t="inlineStr">
        <is>
          <t>General Government</t>
        </is>
      </c>
      <c r="Y200" s="17">
        <f>IF(ISBLANK(X200),"","&lt;/a&gt;")</f>
        <v/>
      </c>
      <c r="Z200" s="42">
        <f>IF(ISBLANK(X200),"",IF(OR(AB200="PASSED",ISBLANK(N200)),"&lt;/b&gt;","&lt;/i&gt;"))</f>
        <v/>
      </c>
      <c r="AA200" s="43">
        <f>IF(AB200="PASSED","&lt;b&gt;","")</f>
        <v/>
      </c>
      <c r="AB200" s="45" t="inlineStr">
        <is>
          <t>INTRODUCED</t>
        </is>
      </c>
      <c r="AC200" s="43">
        <f>IF(AB200="PASSED","&lt;/b&gt;","")</f>
        <v/>
      </c>
      <c r="AD200" s="43">
        <f>IF(ISBLANK(AE200),"","&lt;b&gt;")</f>
        <v/>
      </c>
      <c r="AE200" s="51" t="inlineStr">
        <is>
          <t>02/13</t>
        </is>
      </c>
      <c r="AF200" s="42">
        <f>IF(ISBLANK(AE200),"",": ")</f>
        <v/>
      </c>
      <c r="AG200" s="42" t="inlineStr">
        <is>
          <t>FY27 reduction (-5%)</t>
        </is>
      </c>
      <c r="AH200" s="42">
        <f>IF(ISBLANK(AE200),"","&lt;/b&gt;")</f>
        <v/>
      </c>
      <c r="AI200" s="42" t="n"/>
      <c r="AJ200" s="42">
        <f>IF(ISBLANK(AI200),"","&lt;br&gt;"&amp;AI200)</f>
        <v/>
      </c>
      <c r="AK200" s="4" t="inlineStr">
        <is>
          <t>&lt;br&gt;</t>
        </is>
      </c>
      <c r="AL200" s="42" t="inlineStr">
        <is>
          <t>&lt;b&gt;&lt;i&gt;</t>
        </is>
      </c>
      <c r="AM200" s="42" t="inlineStr">
        <is>
          <t>Governor's 3% + JFAC's 2%</t>
        </is>
      </c>
      <c r="AN200" s="42">
        <f>IF(ISBLANK(AM200),"","&lt;/i&gt;")</f>
        <v/>
      </c>
      <c r="AO200" s="35">
        <f>IF(ISBLANK(AQ200),"","&lt;/b&gt;&lt;br&gt;&lt;br&gt;")</f>
        <v/>
      </c>
      <c r="AP200" s="42">
        <f>IF(ISBLANK(AQ200),"","&lt;b&gt;")</f>
        <v/>
      </c>
      <c r="AQ200" s="47" t="inlineStr">
        <is>
          <t xml:space="preserve">Agency Reduction Plan:&lt;br&gt;Additional </t>
        </is>
      </c>
      <c r="AR200" s="42" t="n">
        <v>2</v>
      </c>
      <c r="AS200" s="4">
        <f>IF(ISBLANK(AR200),""," %")</f>
        <v/>
      </c>
      <c r="AT200" s="4">
        <f t="array" ref="AT200">_xlfn.IFS(NOT(ISBLANK(AU200))," (pgs. ",NOT(ISBLANK(AS200))," (pg. ", ISBLANK(AS200), "")</f>
        <v/>
      </c>
      <c r="AU200" s="52" t="n">
        <v>222</v>
      </c>
      <c r="AV200" s="4">
        <f>IF(ISBLANK(AW200),"",", ")</f>
        <v/>
      </c>
      <c r="AW200" s="42" t="n"/>
      <c r="AX200" s="4">
        <f>IF(ISBLANK(AY200),"",",&lt;br&gt;")</f>
        <v/>
      </c>
      <c r="AY200" s="42" t="n"/>
      <c r="AZ200" s="49">
        <f>IF(ISBLANK(AU200),"",")&lt;/b&gt;")</f>
        <v/>
      </c>
      <c r="BA200" s="4">
        <f>IF(ISBLANK(BC200),"","&lt;br&gt;")</f>
        <v/>
      </c>
      <c r="BB200" s="42">
        <f t="array" ref="BB200">IF(ISBLANK(BC200),"",_xlfn.LET(
_xlpm.words,_xlfn.TEXTSPLIT(TRIM(BC200),"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00" s="50" t="inlineStr">
        <is>
          <t>This reduction would directly decrease funding available for wolf management operations, including depredation inspections by U.S. Wildlife Services and Board-supported projects, and would limit the Board’s ability to maintain readiness and respond during periods of increased depredation, resulting in fewer inspections, longer response times, and delayed management actions when impacts to livestock and wildlife are highest.</t>
        </is>
      </c>
    </row>
    <row r="201">
      <c r="A201" s="20">
        <f>_xlfn.TEXTJOIN("", TRUE, F201:H201)</f>
        <v/>
      </c>
      <c r="B201" s="21">
        <f>_xlfn.TEXTJOIN("", TRUE, I201:S201)</f>
        <v/>
      </c>
      <c r="C201" s="21">
        <f>IF(ISBLANK(X201),"", _xlfn.TEXTJOIN("",TRUE,T201:Z201))</f>
        <v/>
      </c>
      <c r="D201" s="21">
        <f>IF(ISBLANK(AB201), "", _xlfn.TEXTJOIN("", TRUE, AA201:AC201))</f>
        <v/>
      </c>
      <c r="E201" s="22">
        <f>IF(AU201="NA", _xlfn.TEXTJOIN("", TRUE, AD201:AH201), _xlfn.TEXTJOIN("", TRUE, AD201:AJ201))</f>
        <v/>
      </c>
      <c r="F201" s="42">
        <f>IF(LEFT(G201,4)="FY26","&lt;b&gt;","&lt;i&gt;")</f>
        <v/>
      </c>
      <c r="G201" s="42" t="inlineStr">
        <is>
          <t>FY27 Maintenance</t>
        </is>
      </c>
      <c r="H201" s="42">
        <f>IF(LEFT(G201,4)="FY26","&lt;/b&gt;","&lt;/i&gt;")</f>
        <v/>
      </c>
      <c r="I201" s="43" t="inlineStr">
        <is>
          <t>&lt;i&gt;</t>
        </is>
      </c>
      <c r="J201" s="44" t="inlineStr">
        <is>
          <t>General Government</t>
        </is>
      </c>
      <c r="K201" s="44" t="inlineStr">
        <is>
          <t>&lt;/i&gt;</t>
        </is>
      </c>
      <c r="L201" s="4">
        <f>IF(ISBLANK(N201),"","&lt;br&gt;")</f>
        <v/>
      </c>
      <c r="M201" s="42">
        <f>IF(ISBLANK(R201),"&lt;b&gt;","&lt;i&gt;")</f>
        <v/>
      </c>
      <c r="N201" s="42" t="inlineStr">
        <is>
          <t>Office of the Governor</t>
        </is>
      </c>
      <c r="O201" s="42">
        <f>IF(ISBLANK(R201),"&lt;/b&gt;","&lt;/i&gt;")</f>
        <v/>
      </c>
      <c r="P201" s="4">
        <f>IF(ISBLANK(R201),"","&lt;br&gt;")</f>
        <v/>
      </c>
      <c r="Q201" s="42">
        <f>IF(ISBLANK(R201),"","&lt;b&gt;")</f>
        <v/>
      </c>
      <c r="R201" s="42" t="inlineStr">
        <is>
          <t>Workforce Development Council</t>
        </is>
      </c>
      <c r="S201" s="42">
        <f>IF(ISBLANK(R201),"","&lt;/i&gt;")</f>
        <v/>
      </c>
      <c r="T201" s="43">
        <f>IF(ISBLANK(X201),"",IF(OR(AB201="PASSED",ISBLANK(N201)),"&lt;b&gt;","&lt;i&gt;"))</f>
        <v/>
      </c>
      <c r="U201" s="3">
        <f>IF(ISBLANK(V201),"","&lt;a href='")</f>
        <v/>
      </c>
      <c r="V201" s="55" t="inlineStr">
        <is>
          <t>https://legislature.idaho.gov/sessioninfo/rs/</t>
        </is>
      </c>
      <c r="W201" s="17">
        <f>IF(ISBLANK(V201),"","'&gt;")</f>
        <v/>
      </c>
      <c r="X201" s="12" t="inlineStr">
        <is>
          <t>General Government</t>
        </is>
      </c>
      <c r="Y201" s="17">
        <f>IF(ISBLANK(X201),"","&lt;/a&gt;")</f>
        <v/>
      </c>
      <c r="Z201" s="42">
        <f>IF(ISBLANK(X201),"",IF(OR(AB201="PASSED",ISBLANK(N201)),"&lt;/b&gt;","&lt;/i&gt;"))</f>
        <v/>
      </c>
      <c r="AA201" s="43">
        <f>IF(AB201="PASSED","&lt;b&gt;","")</f>
        <v/>
      </c>
      <c r="AB201" s="45" t="inlineStr">
        <is>
          <t>INTRODUCED</t>
        </is>
      </c>
      <c r="AC201" s="43">
        <f>IF(AB201="PASSED","&lt;/b&gt;","")</f>
        <v/>
      </c>
      <c r="AD201" s="43">
        <f>IF(ISBLANK(AE201),"","&lt;b&gt;")</f>
        <v/>
      </c>
      <c r="AE201" s="51" t="inlineStr">
        <is>
          <t>02/13</t>
        </is>
      </c>
      <c r="AF201" s="42">
        <f>IF(ISBLANK(AE201),"",": ")</f>
        <v/>
      </c>
      <c r="AG201" s="42" t="inlineStr">
        <is>
          <t>FY27 reduction (-5%)</t>
        </is>
      </c>
      <c r="AH201" s="42">
        <f>IF(ISBLANK(AE201),"","&lt;/b&gt;")</f>
        <v/>
      </c>
      <c r="AI201" s="42" t="n"/>
      <c r="AJ201" s="42">
        <f>IF(ISBLANK(AI201),"","&lt;br&gt;"&amp;AI201)</f>
        <v/>
      </c>
      <c r="AK201" s="4" t="inlineStr">
        <is>
          <t>&lt;br&gt;</t>
        </is>
      </c>
      <c r="AL201" s="42" t="inlineStr">
        <is>
          <t>&lt;b&gt;&lt;i&gt;</t>
        </is>
      </c>
      <c r="AM201" s="42" t="inlineStr">
        <is>
          <t>Governor's 3% + JFAC's 2%</t>
        </is>
      </c>
      <c r="AN201" s="42">
        <f>IF(ISBLANK(AM201),"","&lt;/i&gt;")</f>
        <v/>
      </c>
      <c r="AO201" s="35">
        <f>IF(ISBLANK(AQ201),"","&lt;/b&gt;&lt;br&gt;&lt;br&gt;")</f>
        <v/>
      </c>
      <c r="AP201" s="42">
        <f>IF(ISBLANK(AQ201),"","&lt;b&gt;")</f>
        <v/>
      </c>
      <c r="AQ201" s="47" t="inlineStr">
        <is>
          <t xml:space="preserve">Agency Reduction Plan:&lt;br&gt;Additional </t>
        </is>
      </c>
      <c r="AR201" s="42" t="n">
        <v>2</v>
      </c>
      <c r="AS201" s="4">
        <f>IF(ISBLANK(AR201),""," %")</f>
        <v/>
      </c>
      <c r="AT201" s="4">
        <f t="array" ref="AT201">_xlfn.IFS(NOT(ISBLANK(AU201))," (pgs. ",NOT(ISBLANK(AS201))," (pg. ", ISBLANK(AS201), "")</f>
        <v/>
      </c>
      <c r="AU201" s="52" t="inlineStr">
        <is>
          <t>NA</t>
        </is>
      </c>
      <c r="AV201" s="4">
        <f>IF(ISBLANK(AW201),"",", ")</f>
        <v/>
      </c>
      <c r="AW201" s="42" t="n"/>
      <c r="AX201" s="4">
        <f>IF(ISBLANK(AY201),"",",&lt;br&gt;")</f>
        <v/>
      </c>
      <c r="AY201" s="42" t="n"/>
      <c r="AZ201" s="49">
        <f>IF(ISBLANK(AU201),"",")&lt;/b&gt;")</f>
        <v/>
      </c>
      <c r="BA201" s="4">
        <f>IF(ISBLANK(BC201),"","&lt;br&gt;")</f>
        <v/>
      </c>
      <c r="BB201" s="42">
        <f t="array" ref="BB201">IF(ISBLANK(BC201),"",_xlfn.LET(
_xlpm.words,_xlfn.TEXTSPLIT(TRIM(BC201),"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01" s="50" t="n"/>
    </row>
    <row r="202">
      <c r="A202" s="20">
        <f>_xlfn.TEXTJOIN("", TRUE, F202:H202)</f>
        <v/>
      </c>
      <c r="B202" s="21">
        <f>_xlfn.TEXTJOIN("", TRUE, I202:S202)</f>
        <v/>
      </c>
      <c r="C202" s="21">
        <f>IF(ISBLANK(X202),"", _xlfn.TEXTJOIN("",TRUE,T202:Z202))</f>
        <v/>
      </c>
      <c r="D202" s="21">
        <f>IF(ISBLANK(AB202), "", _xlfn.TEXTJOIN("", TRUE, AA202:AC202))</f>
        <v/>
      </c>
      <c r="E202" s="22">
        <f>IF(AU202="NA", _xlfn.TEXTJOIN("", TRUE, AD202:AH202), _xlfn.TEXTJOIN("", TRUE, AD202:AJ202))</f>
        <v/>
      </c>
      <c r="F202" s="42">
        <f>IF(LEFT(G202,4)="FY26","&lt;b&gt;","&lt;i&gt;")</f>
        <v/>
      </c>
      <c r="G202" s="42" t="inlineStr">
        <is>
          <t>FY27 Maintenance</t>
        </is>
      </c>
      <c r="H202" s="42">
        <f>IF(LEFT(G202,4)="FY26","&lt;/b&gt;","&lt;/i&gt;")</f>
        <v/>
      </c>
      <c r="I202" s="43" t="inlineStr">
        <is>
          <t>&lt;i&gt;</t>
        </is>
      </c>
      <c r="J202" s="44" t="inlineStr">
        <is>
          <t>Health &amp; Human Services</t>
        </is>
      </c>
      <c r="K202" s="44" t="inlineStr">
        <is>
          <t>&lt;/i&gt;</t>
        </is>
      </c>
      <c r="L202" s="42">
        <f>IF(ISBLANK(N202),"","&lt;br&gt;")</f>
        <v/>
      </c>
      <c r="M202" s="42">
        <f>IF(ISBLANK(R202),"&lt;b&gt;","&lt;i&gt;")</f>
        <v/>
      </c>
      <c r="N202" s="42" t="n"/>
      <c r="O202" s="42">
        <f>IF(ISBLANK(R202),"&lt;/b&gt;","&lt;/i&gt;")</f>
        <v/>
      </c>
      <c r="P202" s="4">
        <f>IF(ISBLANK(R202),"","&lt;br&gt;")</f>
        <v/>
      </c>
      <c r="Q202" s="42">
        <f>IF(ISBLANK(R202),"","&lt;b&gt;")</f>
        <v/>
      </c>
      <c r="R202" s="42" t="n"/>
      <c r="S202" s="42">
        <f>IF(ISBLANK(R202),"","&lt;/i&gt;")</f>
        <v/>
      </c>
      <c r="T202" s="43">
        <f>IF(ISBLANK(X202),"",IF(OR(AB202="PASSED",ISBLANK(N202)),"&lt;b&gt;","&lt;i&gt;"))</f>
        <v/>
      </c>
      <c r="U202" s="3">
        <f>IF(ISBLANK(V202),"","&lt;a href='")</f>
        <v/>
      </c>
      <c r="V202" s="39" t="inlineStr">
        <is>
          <t>https://legislature.idaho.gov/sessioninfo/2026/legislation/S1375/</t>
        </is>
      </c>
      <c r="W202" s="17">
        <f>IF(ISBLANK(V202),"","'&gt;")</f>
        <v/>
      </c>
      <c r="X202" s="12" t="inlineStr">
        <is>
          <t>Senate Bill 1375</t>
        </is>
      </c>
      <c r="Y202" s="17">
        <f>IF(ISBLANK(X202),"","&lt;/a&gt;")</f>
        <v/>
      </c>
      <c r="Z202" s="42">
        <f>IF(ISBLANK(X202),"",IF(OR(AB202="PASSED",ISBLANK(N202)),"&lt;/b&gt;","&lt;/i&gt;"))</f>
        <v/>
      </c>
      <c r="AA202" s="43">
        <f>IF(AB202="PASSED","&lt;b&gt;","")</f>
        <v/>
      </c>
      <c r="AB202" s="45" t="inlineStr">
        <is>
          <t>INTRODUCED</t>
        </is>
      </c>
      <c r="AC202" s="43">
        <f>IF(AB202="PASSED","&lt;/b&gt;","")</f>
        <v/>
      </c>
      <c r="AD202" s="43">
        <f>IF(ISBLANK(AE202),"","&lt;b&gt;")</f>
        <v/>
      </c>
      <c r="AE202" s="51" t="inlineStr">
        <is>
          <t>02/13</t>
        </is>
      </c>
      <c r="AF202" s="42">
        <f>IF(ISBLANK(AE202),"",": ")</f>
        <v/>
      </c>
      <c r="AG202" s="42" t="inlineStr">
        <is>
          <t>FY27 maintenance (-5%)</t>
        </is>
      </c>
      <c r="AH202" s="42">
        <f>IF(ISBLANK(AE202),"","&lt;/b&gt;")</f>
        <v/>
      </c>
      <c r="AI202" s="42" t="n"/>
      <c r="AJ202" s="42">
        <f>IF(ISBLANK(AI202),"","&lt;br&gt;"&amp;AI202)</f>
        <v/>
      </c>
      <c r="AK202" s="4" t="inlineStr">
        <is>
          <t>&lt;br&gt;</t>
        </is>
      </c>
      <c r="AL202" s="42" t="inlineStr">
        <is>
          <t>&lt;b&gt;&lt;i&gt;</t>
        </is>
      </c>
      <c r="AM202" s="42" t="inlineStr">
        <is>
          <t>Governor's 3% + JFAC's 2%&lt;br&gt;Medicaid program excluded &lt;br&gt;from additional reduction</t>
        </is>
      </c>
      <c r="AN202" s="42">
        <f>IF(ISBLANK(AM202),"","&lt;/i&gt;")</f>
        <v/>
      </c>
      <c r="AO202" s="35">
        <f>IF(ISBLANK(AQ202),"","&lt;/b&gt;&lt;br&gt;&lt;br&gt;")</f>
        <v/>
      </c>
      <c r="AP202" s="42">
        <f>IF(ISBLANK(AQ202),"","&lt;b&gt;")</f>
        <v/>
      </c>
      <c r="AQ202" s="42" t="n"/>
      <c r="AR202" s="4" t="n"/>
      <c r="AS202" s="4">
        <f>IF(ISBLANK(AR202),""," %")</f>
        <v/>
      </c>
      <c r="AT202" s="4">
        <f t="array" ref="AT202">_xlfn.IFS(NOT(ISBLANK(AU202))," (pgs. ",NOT(ISBLANK(AS202))," (pg. ", ISBLANK(AS202), "")</f>
        <v/>
      </c>
      <c r="AU202" s="42" t="n"/>
      <c r="AV202" s="4">
        <f>IF(ISBLANK(AW202),"",", ")</f>
        <v/>
      </c>
      <c r="AW202" s="42" t="n"/>
      <c r="AX202" s="4">
        <f>IF(ISBLANK(AY202),"",",&lt;br&gt;")</f>
        <v/>
      </c>
      <c r="AY202" s="42" t="n"/>
      <c r="AZ202" s="49">
        <f>IF(ISBLANK(AU202),"",")&lt;/b&gt;")</f>
        <v/>
      </c>
      <c r="BA202" s="4">
        <f>IF(ISBLANK(BC202),"","&lt;br&gt;")</f>
        <v/>
      </c>
      <c r="BB202" s="42">
        <f t="array" ref="BB202">IF(ISBLANK(BC202),"",_xlfn.LET(
_xlpm.words,_xlfn.TEXTSPLIT(TRIM(BC202),"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02" s="50" t="n"/>
    </row>
    <row r="203">
      <c r="A203" s="20">
        <f>_xlfn.TEXTJOIN("", TRUE, F203:H203)</f>
        <v/>
      </c>
      <c r="B203" s="21">
        <f>_xlfn.TEXTJOIN("", TRUE, I203:S203)</f>
        <v/>
      </c>
      <c r="C203" s="21">
        <f>IF(ISBLANK(X203),"", _xlfn.TEXTJOIN("",TRUE,T203:Z203))</f>
        <v/>
      </c>
      <c r="D203" s="21">
        <f>IF(ISBLANK(AB203), "", _xlfn.TEXTJOIN("", TRUE, AA203:AC203))</f>
        <v/>
      </c>
      <c r="E203" s="22">
        <f>IF(AU203="NA", _xlfn.TEXTJOIN("", TRUE, AD203:AH203), _xlfn.TEXTJOIN("", TRUE, AD203:AJ203))</f>
        <v/>
      </c>
      <c r="F203" s="42">
        <f>IF(LEFT(G203,4)="FY26","&lt;b&gt;","&lt;i&gt;")</f>
        <v/>
      </c>
      <c r="G203" s="42" t="inlineStr">
        <is>
          <t>FY27 Maintenance</t>
        </is>
      </c>
      <c r="H203" s="42">
        <f>IF(LEFT(G203,4)="FY26","&lt;/b&gt;","&lt;/i&gt;")</f>
        <v/>
      </c>
      <c r="I203" s="43" t="inlineStr">
        <is>
          <t>&lt;i&gt;</t>
        </is>
      </c>
      <c r="J203" s="44" t="inlineStr">
        <is>
          <t>Health &amp; Human Services</t>
        </is>
      </c>
      <c r="K203" s="44" t="inlineStr">
        <is>
          <t>&lt;/i&gt;</t>
        </is>
      </c>
      <c r="L203" s="4">
        <f>IF(ISBLANK(N203),"","&lt;br&gt;")</f>
        <v/>
      </c>
      <c r="M203" s="42">
        <f>IF(ISBLANK(R203),"&lt;b&gt;","&lt;i&gt;")</f>
        <v/>
      </c>
      <c r="N203" s="42" t="inlineStr">
        <is>
          <t>Dept. of Health &amp; Welfare</t>
        </is>
      </c>
      <c r="O203" s="42">
        <f>IF(ISBLANK(R203),"&lt;/b&gt;","&lt;/i&gt;")</f>
        <v/>
      </c>
      <c r="P203" s="4">
        <f>IF(ISBLANK(R203),"","&lt;br&gt;")</f>
        <v/>
      </c>
      <c r="Q203" s="42">
        <f>IF(ISBLANK(R203),"","&lt;b&gt;")</f>
        <v/>
      </c>
      <c r="R203" s="42" t="inlineStr">
        <is>
          <t>Child Welfare</t>
        </is>
      </c>
      <c r="S203" s="42">
        <f>IF(ISBLANK(R203),"","&lt;/i&gt;")</f>
        <v/>
      </c>
      <c r="T203" s="43">
        <f>IF(ISBLANK(X203),"",IF(OR(AB203="PASSED",ISBLANK(N203)),"&lt;b&gt;","&lt;i&gt;"))</f>
        <v/>
      </c>
      <c r="U203" s="3">
        <f>IF(ISBLANK(V203),"","&lt;a href='")</f>
        <v/>
      </c>
      <c r="V203" s="39" t="inlineStr">
        <is>
          <t>https://legislature.idaho.gov/sessioninfo/2026/legislation/S1375/</t>
        </is>
      </c>
      <c r="W203" s="17">
        <f>IF(ISBLANK(V203),"","'&gt;")</f>
        <v/>
      </c>
      <c r="X203" s="12" t="inlineStr">
        <is>
          <t>Senate Bill 1375</t>
        </is>
      </c>
      <c r="Y203" s="17">
        <f>IF(ISBLANK(X203),"","&lt;/a&gt;")</f>
        <v/>
      </c>
      <c r="Z203" s="42">
        <f>IF(ISBLANK(X203),"",IF(OR(AB203="PASSED",ISBLANK(N203)),"&lt;/b&gt;","&lt;/i&gt;"))</f>
        <v/>
      </c>
      <c r="AA203" s="43">
        <f>IF(AB203="PASSED","&lt;b&gt;","")</f>
        <v/>
      </c>
      <c r="AB203" s="45" t="inlineStr">
        <is>
          <t>INTRODUCED</t>
        </is>
      </c>
      <c r="AC203" s="43">
        <f>IF(AB203="PASSED","&lt;/b&gt;","")</f>
        <v/>
      </c>
      <c r="AD203" s="43">
        <f>IF(ISBLANK(AE203),"","&lt;b&gt;")</f>
        <v/>
      </c>
      <c r="AE203" s="51" t="inlineStr">
        <is>
          <t>02/13</t>
        </is>
      </c>
      <c r="AF203" s="42">
        <f>IF(ISBLANK(AE203),"",": ")</f>
        <v/>
      </c>
      <c r="AG203" s="42" t="inlineStr">
        <is>
          <t>FY27 reduction (-5%)</t>
        </is>
      </c>
      <c r="AH203" s="42">
        <f>IF(ISBLANK(AE203),"","&lt;/b&gt;")</f>
        <v/>
      </c>
      <c r="AI203" s="42" t="n"/>
      <c r="AJ203" s="42">
        <f>IF(ISBLANK(AI203),"","&lt;br&gt;"&amp;AI203)</f>
        <v/>
      </c>
      <c r="AK203" s="4" t="inlineStr">
        <is>
          <t>&lt;br&gt;</t>
        </is>
      </c>
      <c r="AL203" s="42" t="inlineStr">
        <is>
          <t>&lt;b&gt;&lt;i&gt;</t>
        </is>
      </c>
      <c r="AM203" s="42" t="inlineStr">
        <is>
          <t>Governor's 3% + JFAC's 2%</t>
        </is>
      </c>
      <c r="AN203" s="42">
        <f>IF(ISBLANK(AM203),"","&lt;/i&gt;")</f>
        <v/>
      </c>
      <c r="AO203" s="35">
        <f>IF(ISBLANK(AQ203),"","&lt;/b&gt;&lt;br&gt;&lt;br&gt;")</f>
        <v/>
      </c>
      <c r="AP203" s="42">
        <f>IF(ISBLANK(AQ203),"","&lt;b&gt;")</f>
        <v/>
      </c>
      <c r="AQ203" s="47" t="inlineStr">
        <is>
          <t xml:space="preserve">Agency Reduction Plan:&lt;br&gt;Additional </t>
        </is>
      </c>
      <c r="AR203" s="42" t="n">
        <v>2</v>
      </c>
      <c r="AS203" s="4">
        <f>IF(ISBLANK(AR203),""," %")</f>
        <v/>
      </c>
      <c r="AT203" s="4">
        <f t="array" ref="AT203">_xlfn.IFS(NOT(ISBLANK(AU203))," (pgs. ",NOT(ISBLANK(AS203))," (pg. ", ISBLANK(AS203), "")</f>
        <v/>
      </c>
      <c r="AU203" s="48" t="n">
        <v>86</v>
      </c>
      <c r="AV203" s="4">
        <f>IF(ISBLANK(AW203),"",", ")</f>
        <v/>
      </c>
      <c r="AW203" s="42" t="n"/>
      <c r="AX203" s="4">
        <f>IF(ISBLANK(AY203),"",",&lt;br&gt;")</f>
        <v/>
      </c>
      <c r="AY203" s="42" t="n"/>
      <c r="AZ203" s="49">
        <f>IF(ISBLANK(AU203),"",")&lt;/b&gt;")</f>
        <v/>
      </c>
      <c r="BA203" s="4">
        <f>IF(ISBLANK(BC203),"","&lt;br&gt;")</f>
        <v/>
      </c>
      <c r="BB203" s="42">
        <f t="array" ref="BB203">IF(ISBLANK(BC203),"",_xlfn.LET(
_xlpm.words,_xlfn.TEXTSPLIT(TRIM(BC203),"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03" s="50" t="inlineStr">
        <is>
          <t>This is OT salary savings generated by temporary vacancies and estimated savings generate based on future fill dates.</t>
        </is>
      </c>
    </row>
    <row r="204">
      <c r="A204" s="20">
        <f>_xlfn.TEXTJOIN("", TRUE, F204:H204)</f>
        <v/>
      </c>
      <c r="B204" s="21">
        <f>_xlfn.TEXTJOIN("", TRUE, I204:S204)</f>
        <v/>
      </c>
      <c r="C204" s="21">
        <f>IF(ISBLANK(X204),"", _xlfn.TEXTJOIN("",TRUE,T204:Z204))</f>
        <v/>
      </c>
      <c r="D204" s="21">
        <f>IF(ISBLANK(AB204), "", _xlfn.TEXTJOIN("", TRUE, AA204:AC204))</f>
        <v/>
      </c>
      <c r="E204" s="22">
        <f>IF(AU204="NA", _xlfn.TEXTJOIN("", TRUE, AD204:AH204), _xlfn.TEXTJOIN("", TRUE, AD204:AJ204))</f>
        <v/>
      </c>
      <c r="F204" s="42">
        <f>IF(LEFT(G204,4)="FY26","&lt;b&gt;","&lt;i&gt;")</f>
        <v/>
      </c>
      <c r="G204" s="42" t="inlineStr">
        <is>
          <t>FY27 Maintenance</t>
        </is>
      </c>
      <c r="H204" s="42">
        <f>IF(LEFT(G204,4)="FY26","&lt;/b&gt;","&lt;/i&gt;")</f>
        <v/>
      </c>
      <c r="I204" s="43" t="inlineStr">
        <is>
          <t>&lt;i&gt;</t>
        </is>
      </c>
      <c r="J204" s="44" t="inlineStr">
        <is>
          <t>Health &amp; Human Services</t>
        </is>
      </c>
      <c r="K204" s="44" t="inlineStr">
        <is>
          <t>&lt;/i&gt;</t>
        </is>
      </c>
      <c r="L204" s="4">
        <f>IF(ISBLANK(N204),"","&lt;br&gt;")</f>
        <v/>
      </c>
      <c r="M204" s="42">
        <f>IF(ISBLANK(R204),"&lt;b&gt;","&lt;i&gt;")</f>
        <v/>
      </c>
      <c r="N204" s="42" t="inlineStr">
        <is>
          <t>Dept. of Health &amp; Welfare</t>
        </is>
      </c>
      <c r="O204" s="42">
        <f>IF(ISBLANK(R204),"&lt;/b&gt;","&lt;/i&gt;")</f>
        <v/>
      </c>
      <c r="P204" s="4">
        <f>IF(ISBLANK(R204),"","&lt;br&gt;")</f>
        <v/>
      </c>
      <c r="Q204" s="42">
        <f>IF(ISBLANK(R204),"","&lt;b&gt;")</f>
        <v/>
      </c>
      <c r="R204" s="42" t="inlineStr">
        <is>
          <t>Div. of Medicaid</t>
        </is>
      </c>
      <c r="S204" s="42">
        <f>IF(ISBLANK(R204),"","&lt;/i&gt;")</f>
        <v/>
      </c>
      <c r="T204" s="43">
        <f>IF(ISBLANK(X204),"",IF(OR(AB204="PASSED",ISBLANK(N204)),"&lt;b&gt;","&lt;i&gt;"))</f>
        <v/>
      </c>
      <c r="U204" s="3">
        <f>IF(ISBLANK(V204),"","&lt;a href='")</f>
        <v/>
      </c>
      <c r="V204" s="39" t="inlineStr">
        <is>
          <t>https://legislature.idaho.gov/sessioninfo/2026/legislation/S1375/</t>
        </is>
      </c>
      <c r="W204" s="17">
        <f>IF(ISBLANK(V204),"","'&gt;")</f>
        <v/>
      </c>
      <c r="X204" s="12" t="inlineStr">
        <is>
          <t>Senate Bill 1375</t>
        </is>
      </c>
      <c r="Y204" s="17">
        <f>IF(ISBLANK(X204),"","&lt;/a&gt;")</f>
        <v/>
      </c>
      <c r="Z204" s="42">
        <f>IF(ISBLANK(X204),"",IF(OR(AB204="PASSED",ISBLANK(N204)),"&lt;/b&gt;","&lt;/i&gt;"))</f>
        <v/>
      </c>
      <c r="AA204" s="43">
        <f>IF(AB204="PASSED","&lt;b&gt;","")</f>
        <v/>
      </c>
      <c r="AB204" s="45" t="inlineStr">
        <is>
          <t>INTRODUCED</t>
        </is>
      </c>
      <c r="AC204" s="43">
        <f>IF(AB204="PASSED","&lt;/b&gt;","")</f>
        <v/>
      </c>
      <c r="AD204" s="43">
        <f>IF(ISBLANK(AE204),"","&lt;b&gt;")</f>
        <v/>
      </c>
      <c r="AE204" s="51" t="inlineStr">
        <is>
          <t>02/13</t>
        </is>
      </c>
      <c r="AF204" s="42">
        <f>IF(ISBLANK(AE204),"",": ")</f>
        <v/>
      </c>
      <c r="AG204" s="42" t="inlineStr">
        <is>
          <t>FY27 reduction (-5%)</t>
        </is>
      </c>
      <c r="AH204" s="42">
        <f>IF(ISBLANK(AE204),"","&lt;/b&gt;")</f>
        <v/>
      </c>
      <c r="AI204" s="42" t="n"/>
      <c r="AJ204" s="42">
        <f>IF(ISBLANK(AI204),"","&lt;br&gt;"&amp;AI204)</f>
        <v/>
      </c>
      <c r="AK204" s="4" t="inlineStr">
        <is>
          <t>&lt;br&gt;</t>
        </is>
      </c>
      <c r="AL204" s="42" t="inlineStr">
        <is>
          <t>&lt;b&gt;&lt;i&gt;</t>
        </is>
      </c>
      <c r="AM204" s="42" t="inlineStr">
        <is>
          <t>Medicaid program excluded &lt;br&gt;from additional reduction</t>
        </is>
      </c>
      <c r="AN204" s="42">
        <f>IF(ISBLANK(AM204),"","&lt;/i&gt;")</f>
        <v/>
      </c>
      <c r="AO204" s="35">
        <f>IF(ISBLANK(AQ204),"","&lt;/b&gt;&lt;br&gt;&lt;br&gt;")</f>
        <v/>
      </c>
      <c r="AP204" s="42">
        <f>IF(ISBLANK(AQ204),"","&lt;b&gt;")</f>
        <v/>
      </c>
      <c r="AQ204" s="47" t="inlineStr">
        <is>
          <t xml:space="preserve">Agency Reduction Plan:&lt;br&gt;Additional </t>
        </is>
      </c>
      <c r="AR204" s="42" t="n">
        <v>2</v>
      </c>
      <c r="AS204" s="4">
        <f>IF(ISBLANK(AR204),""," %")</f>
        <v/>
      </c>
      <c r="AT204" s="4">
        <f t="array" ref="AT204">_xlfn.IFS(NOT(ISBLANK(AU204))," (pgs. ",NOT(ISBLANK(AS204))," (pg. ", ISBLANK(AS204), "")</f>
        <v/>
      </c>
      <c r="AU204" s="48" t="n">
        <v>83</v>
      </c>
      <c r="AV204" s="4">
        <f>IF(ISBLANK(AW204),"",", ")</f>
        <v/>
      </c>
      <c r="AW204" s="42" t="n"/>
      <c r="AX204" s="4">
        <f>IF(ISBLANK(AY204),"",",&lt;br&gt;")</f>
        <v/>
      </c>
      <c r="AY204" s="42" t="n"/>
      <c r="AZ204" s="49">
        <f>IF(ISBLANK(AU204),"",")&lt;/b&gt;")</f>
        <v/>
      </c>
      <c r="BA204" s="4">
        <f>IF(ISBLANK(BC204),"","&lt;br&gt;")</f>
        <v/>
      </c>
      <c r="BB204" s="42">
        <f t="array" ref="BB204">IF(ISBLANK(BC204),"",_xlfn.LET(
_xlpm.words,_xlfn.TEXTSPLIT(TRIM(BC204),"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04" s="50" t="n"/>
    </row>
    <row r="205">
      <c r="A205" s="20">
        <f>_xlfn.TEXTJOIN("", TRUE, F205:H205)</f>
        <v/>
      </c>
      <c r="B205" s="21">
        <f>_xlfn.TEXTJOIN("", TRUE, I205:S205)</f>
        <v/>
      </c>
      <c r="C205" s="21">
        <f>IF(ISBLANK(X205),"", _xlfn.TEXTJOIN("",TRUE,T205:Z205))</f>
        <v/>
      </c>
      <c r="D205" s="21">
        <f>IF(ISBLANK(AB205), "", _xlfn.TEXTJOIN("", TRUE, AA205:AC205))</f>
        <v/>
      </c>
      <c r="E205" s="22">
        <f>IF(AU205="NA", _xlfn.TEXTJOIN("", TRUE, AD205:AH205), _xlfn.TEXTJOIN("", TRUE, AD205:AJ205))</f>
        <v/>
      </c>
      <c r="F205" s="42">
        <f>IF(LEFT(G205,4)="FY26","&lt;b&gt;","&lt;i&gt;")</f>
        <v/>
      </c>
      <c r="G205" s="42" t="inlineStr">
        <is>
          <t>FY27 Maintenance</t>
        </is>
      </c>
      <c r="H205" s="42">
        <f>IF(LEFT(G205,4)="FY26","&lt;/b&gt;","&lt;/i&gt;")</f>
        <v/>
      </c>
      <c r="I205" s="43" t="inlineStr">
        <is>
          <t>&lt;i&gt;</t>
        </is>
      </c>
      <c r="J205" s="44" t="inlineStr">
        <is>
          <t>Health &amp; Human Services</t>
        </is>
      </c>
      <c r="K205" s="44" t="inlineStr">
        <is>
          <t>&lt;/i&gt;</t>
        </is>
      </c>
      <c r="L205" s="4">
        <f>IF(ISBLANK(N205),"","&lt;br&gt;")</f>
        <v/>
      </c>
      <c r="M205" s="42">
        <f>IF(ISBLANK(R205),"&lt;b&gt;","&lt;i&gt;")</f>
        <v/>
      </c>
      <c r="N205" s="42" t="inlineStr">
        <is>
          <t>Dept. of Health &amp; Welfare</t>
        </is>
      </c>
      <c r="O205" s="42">
        <f>IF(ISBLANK(R205),"&lt;/b&gt;","&lt;/i&gt;")</f>
        <v/>
      </c>
      <c r="P205" s="4">
        <f>IF(ISBLANK(R205),"","&lt;br&gt;")</f>
        <v/>
      </c>
      <c r="Q205" s="42">
        <f>IF(ISBLANK(R205),"","&lt;b&gt;")</f>
        <v/>
      </c>
      <c r="R205" s="42" t="inlineStr">
        <is>
          <t>Div. of Welfare</t>
        </is>
      </c>
      <c r="S205" s="42">
        <f>IF(ISBLANK(R205),"","&lt;/i&gt;")</f>
        <v/>
      </c>
      <c r="T205" s="43">
        <f>IF(ISBLANK(X205),"",IF(OR(AB205="PASSED",ISBLANK(N205)),"&lt;b&gt;","&lt;i&gt;"))</f>
        <v/>
      </c>
      <c r="U205" s="3">
        <f>IF(ISBLANK(V205),"","&lt;a href='")</f>
        <v/>
      </c>
      <c r="V205" s="39" t="inlineStr">
        <is>
          <t>https://legislature.idaho.gov/sessioninfo/2026/legislation/S1375/</t>
        </is>
      </c>
      <c r="W205" s="17">
        <f>IF(ISBLANK(V205),"","'&gt;")</f>
        <v/>
      </c>
      <c r="X205" s="12" t="inlineStr">
        <is>
          <t>Senate Bill 1375</t>
        </is>
      </c>
      <c r="Y205" s="17">
        <f>IF(ISBLANK(X205),"","&lt;/a&gt;")</f>
        <v/>
      </c>
      <c r="Z205" s="42">
        <f>IF(ISBLANK(X205),"",IF(OR(AB205="PASSED",ISBLANK(N205)),"&lt;/b&gt;","&lt;/i&gt;"))</f>
        <v/>
      </c>
      <c r="AA205" s="43">
        <f>IF(AB205="PASSED","&lt;b&gt;","")</f>
        <v/>
      </c>
      <c r="AB205" s="45" t="inlineStr">
        <is>
          <t>INTRODUCED</t>
        </is>
      </c>
      <c r="AC205" s="43">
        <f>IF(AB205="PASSED","&lt;/b&gt;","")</f>
        <v/>
      </c>
      <c r="AD205" s="43">
        <f>IF(ISBLANK(AE205),"","&lt;b&gt;")</f>
        <v/>
      </c>
      <c r="AE205" s="51" t="inlineStr">
        <is>
          <t>02/13</t>
        </is>
      </c>
      <c r="AF205" s="42">
        <f>IF(ISBLANK(AE205),"",": ")</f>
        <v/>
      </c>
      <c r="AG205" s="42" t="inlineStr">
        <is>
          <t>FY27 reduction (-5%)</t>
        </is>
      </c>
      <c r="AH205" s="42">
        <f>IF(ISBLANK(AE205),"","&lt;/b&gt;")</f>
        <v/>
      </c>
      <c r="AI205" s="42" t="n"/>
      <c r="AJ205" s="42">
        <f>IF(ISBLANK(AI205),"","&lt;br&gt;"&amp;AI205)</f>
        <v/>
      </c>
      <c r="AK205" s="4" t="inlineStr">
        <is>
          <t>&lt;br&gt;</t>
        </is>
      </c>
      <c r="AL205" s="42" t="inlineStr">
        <is>
          <t>&lt;b&gt;&lt;i&gt;</t>
        </is>
      </c>
      <c r="AM205" s="42" t="inlineStr">
        <is>
          <t>Governor's 3% + JFAC's 2%</t>
        </is>
      </c>
      <c r="AN205" s="42">
        <f>IF(ISBLANK(AM205),"","&lt;/i&gt;")</f>
        <v/>
      </c>
      <c r="AO205" s="35">
        <f>IF(ISBLANK(AQ205),"","&lt;/b&gt;&lt;br&gt;&lt;br&gt;")</f>
        <v/>
      </c>
      <c r="AP205" s="42">
        <f>IF(ISBLANK(AQ205),"","&lt;b&gt;")</f>
        <v/>
      </c>
      <c r="AQ205" s="47" t="inlineStr">
        <is>
          <t xml:space="preserve">Agency Reduction Plan:&lt;br&gt;Additional </t>
        </is>
      </c>
      <c r="AR205" s="42" t="n">
        <v>2</v>
      </c>
      <c r="AS205" s="4">
        <f>IF(ISBLANK(AR205),""," %")</f>
        <v/>
      </c>
      <c r="AT205" s="4">
        <f t="array" ref="AT205">_xlfn.IFS(NOT(ISBLANK(AU205))," (pgs. ",NOT(ISBLANK(AS205))," (pg. ", ISBLANK(AS205), "")</f>
        <v/>
      </c>
      <c r="AU205" s="48" t="n">
        <v>86</v>
      </c>
      <c r="AV205" s="4">
        <f>IF(ISBLANK(AW205),"",", ")</f>
        <v/>
      </c>
      <c r="AW205" s="42" t="n"/>
      <c r="AX205" s="4">
        <f>IF(ISBLANK(AY205),"",",&lt;br&gt;")</f>
        <v/>
      </c>
      <c r="AY205" s="42" t="n"/>
      <c r="AZ205" s="49">
        <f>IF(ISBLANK(AU205),"",")&lt;/b&gt;")</f>
        <v/>
      </c>
      <c r="BA205" s="4">
        <f>IF(ISBLANK(BC205),"","&lt;br&gt;")</f>
        <v/>
      </c>
      <c r="BB205" s="42">
        <f t="array" ref="BB205">IF(ISBLANK(BC205),"",_xlfn.LET(
_xlpm.words,_xlfn.TEXTSPLIT(TRIM(BC205),"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05" s="50" t="inlineStr">
        <is>
          <t>This is OT salary savings generated by temporary vacancies and estimated savings generate based on future fill dates.</t>
        </is>
      </c>
    </row>
    <row r="206">
      <c r="A206" s="20">
        <f>_xlfn.TEXTJOIN("", TRUE, F206:H206)</f>
        <v/>
      </c>
      <c r="B206" s="21">
        <f>_xlfn.TEXTJOIN("", TRUE, I206:S206)</f>
        <v/>
      </c>
      <c r="C206" s="21">
        <f>IF(ISBLANK(X206),"", _xlfn.TEXTJOIN("",TRUE,T206:Z206))</f>
        <v/>
      </c>
      <c r="D206" s="21">
        <f>IF(ISBLANK(AB206), "", _xlfn.TEXTJOIN("", TRUE, AA206:AC206))</f>
        <v/>
      </c>
      <c r="E206" s="22">
        <f>IF(AU206="NA", _xlfn.TEXTJOIN("", TRUE, AD206:AH206), _xlfn.TEXTJOIN("", TRUE, AD206:AJ206))</f>
        <v/>
      </c>
      <c r="F206" s="42">
        <f>IF(LEFT(G206,4)="FY26","&lt;b&gt;","&lt;i&gt;")</f>
        <v/>
      </c>
      <c r="G206" s="42" t="inlineStr">
        <is>
          <t>FY27 Maintenance</t>
        </is>
      </c>
      <c r="H206" s="42">
        <f>IF(LEFT(G206,4)="FY26","&lt;/b&gt;","&lt;/i&gt;")</f>
        <v/>
      </c>
      <c r="I206" s="43" t="inlineStr">
        <is>
          <t>&lt;i&gt;</t>
        </is>
      </c>
      <c r="J206" s="44" t="inlineStr">
        <is>
          <t>Health &amp; Human Services</t>
        </is>
      </c>
      <c r="K206" s="44" t="inlineStr">
        <is>
          <t>&lt;/i&gt;</t>
        </is>
      </c>
      <c r="L206" s="4">
        <f>IF(ISBLANK(N206),"","&lt;br&gt;")</f>
        <v/>
      </c>
      <c r="M206" s="42">
        <f>IF(ISBLANK(R206),"&lt;b&gt;","&lt;i&gt;")</f>
        <v/>
      </c>
      <c r="N206" s="42" t="inlineStr">
        <is>
          <t>Dept. of Health &amp; Welfare</t>
        </is>
      </c>
      <c r="O206" s="42">
        <f>IF(ISBLANK(R206),"&lt;/b&gt;","&lt;/i&gt;")</f>
        <v/>
      </c>
      <c r="P206" s="4">
        <f>IF(ISBLANK(R206),"","&lt;br&gt;")</f>
        <v/>
      </c>
      <c r="Q206" s="42">
        <f>IF(ISBLANK(R206),"","&lt;b&gt;")</f>
        <v/>
      </c>
      <c r="R206" s="42" t="inlineStr">
        <is>
          <t>Independent Councils</t>
        </is>
      </c>
      <c r="S206" s="42">
        <f>IF(ISBLANK(R206),"","&lt;/i&gt;")</f>
        <v/>
      </c>
      <c r="T206" s="43">
        <f>IF(ISBLANK(X206),"",IF(OR(AB206="PASSED",ISBLANK(N206)),"&lt;b&gt;","&lt;i&gt;"))</f>
        <v/>
      </c>
      <c r="U206" s="3">
        <f>IF(ISBLANK(V206),"","&lt;a href='")</f>
        <v/>
      </c>
      <c r="V206" s="39" t="inlineStr">
        <is>
          <t>https://legislature.idaho.gov/sessioninfo/2026/legislation/S1375/</t>
        </is>
      </c>
      <c r="W206" s="17">
        <f>IF(ISBLANK(V206),"","'&gt;")</f>
        <v/>
      </c>
      <c r="X206" s="12" t="inlineStr">
        <is>
          <t>Senate Bill 1375</t>
        </is>
      </c>
      <c r="Y206" s="17">
        <f>IF(ISBLANK(X206),"","&lt;/a&gt;")</f>
        <v/>
      </c>
      <c r="Z206" s="42">
        <f>IF(ISBLANK(X206),"",IF(OR(AB206="PASSED",ISBLANK(N206)),"&lt;/b&gt;","&lt;/i&gt;"))</f>
        <v/>
      </c>
      <c r="AA206" s="43">
        <f>IF(AB206="PASSED","&lt;b&gt;","")</f>
        <v/>
      </c>
      <c r="AB206" s="45" t="inlineStr">
        <is>
          <t>INTRODUCED</t>
        </is>
      </c>
      <c r="AC206" s="43">
        <f>IF(AB206="PASSED","&lt;/b&gt;","")</f>
        <v/>
      </c>
      <c r="AD206" s="43">
        <f>IF(ISBLANK(AE206),"","&lt;b&gt;")</f>
        <v/>
      </c>
      <c r="AE206" s="51" t="inlineStr">
        <is>
          <t>02/13</t>
        </is>
      </c>
      <c r="AF206" s="42">
        <f>IF(ISBLANK(AE206),"",": ")</f>
        <v/>
      </c>
      <c r="AG206" s="42" t="inlineStr">
        <is>
          <t>FY27 reduction (-5%)</t>
        </is>
      </c>
      <c r="AH206" s="42">
        <f>IF(ISBLANK(AE206),"","&lt;/b&gt;")</f>
        <v/>
      </c>
      <c r="AI206" s="42" t="n"/>
      <c r="AJ206" s="42">
        <f>IF(ISBLANK(AI206),"","&lt;br&gt;"&amp;AI206)</f>
        <v/>
      </c>
      <c r="AK206" s="4" t="inlineStr">
        <is>
          <t>&lt;br&gt;</t>
        </is>
      </c>
      <c r="AL206" s="42" t="inlineStr">
        <is>
          <t>&lt;b&gt;&lt;i&gt;</t>
        </is>
      </c>
      <c r="AM206" s="42" t="inlineStr">
        <is>
          <t>Governor's 3% + JFAC's 2%</t>
        </is>
      </c>
      <c r="AN206" s="42">
        <f>IF(ISBLANK(AM206),"","&lt;/i&gt;")</f>
        <v/>
      </c>
      <c r="AO206" s="35">
        <f>IF(ISBLANK(AQ206),"","&lt;/b&gt;&lt;br&gt;&lt;br&gt;")</f>
        <v/>
      </c>
      <c r="AP206" s="42">
        <f>IF(ISBLANK(AQ206),"","&lt;b&gt;")</f>
        <v/>
      </c>
      <c r="AQ206" s="47" t="inlineStr">
        <is>
          <t xml:space="preserve">Agency Reduction Plan:&lt;br&gt;Additional </t>
        </is>
      </c>
      <c r="AR206" s="42" t="n">
        <v>2</v>
      </c>
      <c r="AS206" s="4">
        <f>IF(ISBLANK(AR206),""," %")</f>
        <v/>
      </c>
      <c r="AT206" s="4">
        <f t="array" ref="AT206">_xlfn.IFS(NOT(ISBLANK(AU206))," (pgs. ",NOT(ISBLANK(AS206))," (pg. ", ISBLANK(AS206), "")</f>
        <v/>
      </c>
      <c r="AU206" s="48" t="n">
        <v>86</v>
      </c>
      <c r="AV206" s="4">
        <f>IF(ISBLANK(AW206),"",", ")</f>
        <v/>
      </c>
      <c r="AW206" s="42" t="n"/>
      <c r="AX206" s="4">
        <f>IF(ISBLANK(AY206),"",",&lt;br&gt;")</f>
        <v/>
      </c>
      <c r="AY206" s="42" t="n"/>
      <c r="AZ206" s="49">
        <f>IF(ISBLANK(AU206),"",")&lt;/b&gt;")</f>
        <v/>
      </c>
      <c r="BA206" s="4">
        <f>IF(ISBLANK(BC206),"","&lt;br&gt;")</f>
        <v/>
      </c>
      <c r="BB206" s="42">
        <f t="array" ref="BB206">IF(ISBLANK(BC206),"",_xlfn.LET(
_xlpm.words,_xlfn.TEXTSPLIT(TRIM(BC206),"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06" s="50" t="inlineStr">
        <is>
          <t>This is OT salary savings generated by temporary vacancies and estimated savings generate based on future fill dates.</t>
        </is>
      </c>
    </row>
    <row r="207">
      <c r="A207" s="20">
        <f>_xlfn.TEXTJOIN("", TRUE, F207:H207)</f>
        <v/>
      </c>
      <c r="B207" s="21">
        <f>_xlfn.TEXTJOIN("", TRUE, I207:S207)</f>
        <v/>
      </c>
      <c r="C207" s="21">
        <f>IF(ISBLANK(X207),"", _xlfn.TEXTJOIN("",TRUE,T207:Z207))</f>
        <v/>
      </c>
      <c r="D207" s="21">
        <f>IF(ISBLANK(AB207), "", _xlfn.TEXTJOIN("", TRUE, AA207:AC207))</f>
        <v/>
      </c>
      <c r="E207" s="22">
        <f>IF(AU207="NA", _xlfn.TEXTJOIN("", TRUE, AD207:AH207), _xlfn.TEXTJOIN("", TRUE, AD207:AJ207))</f>
        <v/>
      </c>
      <c r="F207" s="42">
        <f>IF(LEFT(G207,4)="FY26","&lt;b&gt;","&lt;i&gt;")</f>
        <v/>
      </c>
      <c r="G207" s="42" t="inlineStr">
        <is>
          <t>FY27 Maintenance</t>
        </is>
      </c>
      <c r="H207" s="42">
        <f>IF(LEFT(G207,4)="FY26","&lt;/b&gt;","&lt;/i&gt;")</f>
        <v/>
      </c>
      <c r="I207" s="43" t="inlineStr">
        <is>
          <t>&lt;i&gt;</t>
        </is>
      </c>
      <c r="J207" s="44" t="inlineStr">
        <is>
          <t>Health &amp; Human Services</t>
        </is>
      </c>
      <c r="K207" s="44" t="inlineStr">
        <is>
          <t>&lt;/i&gt;</t>
        </is>
      </c>
      <c r="L207" s="4">
        <f>IF(ISBLANK(N207),"","&lt;br&gt;")</f>
        <v/>
      </c>
      <c r="M207" s="42">
        <f>IF(ISBLANK(R207),"&lt;b&gt;","&lt;i&gt;")</f>
        <v/>
      </c>
      <c r="N207" s="42" t="inlineStr">
        <is>
          <t>Dept. of Health &amp; Welfare</t>
        </is>
      </c>
      <c r="O207" s="42">
        <f>IF(ISBLANK(R207),"&lt;/b&gt;","&lt;/i&gt;")</f>
        <v/>
      </c>
      <c r="P207" s="4">
        <f>IF(ISBLANK(R207),"","&lt;br&gt;")</f>
        <v/>
      </c>
      <c r="Q207" s="42">
        <f>IF(ISBLANK(R207),"","&lt;b&gt;")</f>
        <v/>
      </c>
      <c r="R207" s="42" t="inlineStr">
        <is>
          <t>Indirect Support Services</t>
        </is>
      </c>
      <c r="S207" s="42">
        <f>IF(ISBLANK(R207),"","&lt;/i&gt;")</f>
        <v/>
      </c>
      <c r="T207" s="43">
        <f>IF(ISBLANK(X207),"",IF(OR(AB207="PASSED",ISBLANK(N207)),"&lt;b&gt;","&lt;i&gt;"))</f>
        <v/>
      </c>
      <c r="U207" s="3">
        <f>IF(ISBLANK(V207),"","&lt;a href='")</f>
        <v/>
      </c>
      <c r="V207" s="39" t="inlineStr">
        <is>
          <t>https://legislature.idaho.gov/sessioninfo/2026/legislation/S1375/</t>
        </is>
      </c>
      <c r="W207" s="17">
        <f>IF(ISBLANK(V207),"","'&gt;")</f>
        <v/>
      </c>
      <c r="X207" s="12" t="inlineStr">
        <is>
          <t>Senate Bill 1375</t>
        </is>
      </c>
      <c r="Y207" s="17">
        <f>IF(ISBLANK(X207),"","&lt;/a&gt;")</f>
        <v/>
      </c>
      <c r="Z207" s="42">
        <f>IF(ISBLANK(X207),"",IF(OR(AB207="PASSED",ISBLANK(N207)),"&lt;/b&gt;","&lt;/i&gt;"))</f>
        <v/>
      </c>
      <c r="AA207" s="43">
        <f>IF(AB207="PASSED","&lt;b&gt;","")</f>
        <v/>
      </c>
      <c r="AB207" s="45" t="inlineStr">
        <is>
          <t>INTRODUCED</t>
        </is>
      </c>
      <c r="AC207" s="43">
        <f>IF(AB207="PASSED","&lt;/b&gt;","")</f>
        <v/>
      </c>
      <c r="AD207" s="43">
        <f>IF(ISBLANK(AE207),"","&lt;b&gt;")</f>
        <v/>
      </c>
      <c r="AE207" s="51" t="inlineStr">
        <is>
          <t>02/13</t>
        </is>
      </c>
      <c r="AF207" s="42">
        <f>IF(ISBLANK(AE207),"",": ")</f>
        <v/>
      </c>
      <c r="AG207" s="42" t="inlineStr">
        <is>
          <t>FY27 reduction (-5%)</t>
        </is>
      </c>
      <c r="AH207" s="42">
        <f>IF(ISBLANK(AE207),"","&lt;/b&gt;")</f>
        <v/>
      </c>
      <c r="AI207" s="42" t="n"/>
      <c r="AJ207" s="42">
        <f>IF(ISBLANK(AI207),"","&lt;br&gt;"&amp;AI207)</f>
        <v/>
      </c>
      <c r="AK207" s="4" t="inlineStr">
        <is>
          <t>&lt;br&gt;</t>
        </is>
      </c>
      <c r="AL207" s="42" t="inlineStr">
        <is>
          <t>&lt;b&gt;&lt;i&gt;</t>
        </is>
      </c>
      <c r="AM207" s="42" t="inlineStr">
        <is>
          <t>Governor's 3% + JFAC's 2%</t>
        </is>
      </c>
      <c r="AN207" s="42">
        <f>IF(ISBLANK(AM207),"","&lt;/i&gt;")</f>
        <v/>
      </c>
      <c r="AO207" s="35">
        <f>IF(ISBLANK(AQ207),"","&lt;/b&gt;&lt;br&gt;&lt;br&gt;")</f>
        <v/>
      </c>
      <c r="AP207" s="42">
        <f>IF(ISBLANK(AQ207),"","&lt;b&gt;")</f>
        <v/>
      </c>
      <c r="AQ207" s="47" t="inlineStr">
        <is>
          <t xml:space="preserve">Agency Reduction Plan:&lt;br&gt;Additional </t>
        </is>
      </c>
      <c r="AR207" s="42" t="n">
        <v>2</v>
      </c>
      <c r="AS207" s="4">
        <f>IF(ISBLANK(AR207),""," %")</f>
        <v/>
      </c>
      <c r="AT207" s="4">
        <f t="array" ref="AT207">_xlfn.IFS(NOT(ISBLANK(AU207))," (pgs. ",NOT(ISBLANK(AS207))," (pg. ", ISBLANK(AS207), "")</f>
        <v/>
      </c>
      <c r="AU207" s="48" t="n">
        <v>86</v>
      </c>
      <c r="AV207" s="4">
        <f>IF(ISBLANK(AW207),"",", ")</f>
        <v/>
      </c>
      <c r="AW207" s="42" t="n"/>
      <c r="AX207" s="4">
        <f>IF(ISBLANK(AY207),"",",&lt;br&gt;")</f>
        <v/>
      </c>
      <c r="AY207" s="42" t="n"/>
      <c r="AZ207" s="49">
        <f>IF(ISBLANK(AU207),"",")&lt;/b&gt;")</f>
        <v/>
      </c>
      <c r="BA207" s="4">
        <f>IF(ISBLANK(BC207),"","&lt;br&gt;")</f>
        <v/>
      </c>
      <c r="BB207" s="42">
        <f t="array" ref="BB207">IF(ISBLANK(BC207),"",_xlfn.LET(
_xlpm.words,_xlfn.TEXTSPLIT(TRIM(BC207),"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07" s="50" t="inlineStr">
        <is>
          <t>This is OT salary savings generated by temporary vacancies and estimated savings generate based on future fill dates.</t>
        </is>
      </c>
    </row>
    <row r="208">
      <c r="A208" s="20">
        <f>_xlfn.TEXTJOIN("", TRUE, F208:H208)</f>
        <v/>
      </c>
      <c r="B208" s="21">
        <f>_xlfn.TEXTJOIN("", TRUE, I208:S208)</f>
        <v/>
      </c>
      <c r="C208" s="21">
        <f>IF(ISBLANK(X208),"", _xlfn.TEXTJOIN("",TRUE,T208:Z208))</f>
        <v/>
      </c>
      <c r="D208" s="21">
        <f>IF(ISBLANK(AB208), "", _xlfn.TEXTJOIN("", TRUE, AA208:AC208))</f>
        <v/>
      </c>
      <c r="E208" s="22">
        <f>IF(AU208="NA", _xlfn.TEXTJOIN("", TRUE, AD208:AH208), _xlfn.TEXTJOIN("", TRUE, AD208:AJ208))</f>
        <v/>
      </c>
      <c r="F208" s="42">
        <f>IF(LEFT(G208,4)="FY26","&lt;b&gt;","&lt;i&gt;")</f>
        <v/>
      </c>
      <c r="G208" s="42" t="inlineStr">
        <is>
          <t>FY27 Maintenance</t>
        </is>
      </c>
      <c r="H208" s="42">
        <f>IF(LEFT(G208,4)="FY26","&lt;/b&gt;","&lt;/i&gt;")</f>
        <v/>
      </c>
      <c r="I208" s="43" t="inlineStr">
        <is>
          <t>&lt;i&gt;</t>
        </is>
      </c>
      <c r="J208" s="44" t="inlineStr">
        <is>
          <t>Health &amp; Human Services</t>
        </is>
      </c>
      <c r="K208" s="44" t="inlineStr">
        <is>
          <t>&lt;/i&gt;</t>
        </is>
      </c>
      <c r="L208" s="4">
        <f>IF(ISBLANK(N208),"","&lt;br&gt;")</f>
        <v/>
      </c>
      <c r="M208" s="42">
        <f>IF(ISBLANK(R208),"&lt;b&gt;","&lt;i&gt;")</f>
        <v/>
      </c>
      <c r="N208" s="42" t="inlineStr">
        <is>
          <t>Dept. of Health &amp; Welfare</t>
        </is>
      </c>
      <c r="O208" s="42">
        <f>IF(ISBLANK(R208),"&lt;/b&gt;","&lt;/i&gt;")</f>
        <v/>
      </c>
      <c r="P208" s="4">
        <f>IF(ISBLANK(R208),"","&lt;br&gt;")</f>
        <v/>
      </c>
      <c r="Q208" s="42">
        <f>IF(ISBLANK(R208),"","&lt;b&gt;")</f>
        <v/>
      </c>
      <c r="R208" s="42" t="inlineStr">
        <is>
          <t>Licensing &amp; Certification</t>
        </is>
      </c>
      <c r="S208" s="42">
        <f>IF(ISBLANK(R208),"","&lt;/i&gt;")</f>
        <v/>
      </c>
      <c r="T208" s="43">
        <f>IF(ISBLANK(X208),"",IF(OR(AB208="PASSED",ISBLANK(N208)),"&lt;b&gt;","&lt;i&gt;"))</f>
        <v/>
      </c>
      <c r="U208" s="3">
        <f>IF(ISBLANK(V208),"","&lt;a href='")</f>
        <v/>
      </c>
      <c r="V208" s="39" t="inlineStr">
        <is>
          <t>https://legislature.idaho.gov/sessioninfo/2026/legislation/S1375/</t>
        </is>
      </c>
      <c r="W208" s="17">
        <f>IF(ISBLANK(V208),"","'&gt;")</f>
        <v/>
      </c>
      <c r="X208" s="12" t="inlineStr">
        <is>
          <t>Senate Bill 1375</t>
        </is>
      </c>
      <c r="Y208" s="17">
        <f>IF(ISBLANK(X208),"","&lt;/a&gt;")</f>
        <v/>
      </c>
      <c r="Z208" s="42">
        <f>IF(ISBLANK(X208),"",IF(OR(AB208="PASSED",ISBLANK(N208)),"&lt;/b&gt;","&lt;/i&gt;"))</f>
        <v/>
      </c>
      <c r="AA208" s="43">
        <f>IF(AB208="PASSED","&lt;b&gt;","")</f>
        <v/>
      </c>
      <c r="AB208" s="45" t="inlineStr">
        <is>
          <t>INTRODUCED</t>
        </is>
      </c>
      <c r="AC208" s="43">
        <f>IF(AB208="PASSED","&lt;/b&gt;","")</f>
        <v/>
      </c>
      <c r="AD208" s="43">
        <f>IF(ISBLANK(AE208),"","&lt;b&gt;")</f>
        <v/>
      </c>
      <c r="AE208" s="51" t="inlineStr">
        <is>
          <t>02/13</t>
        </is>
      </c>
      <c r="AF208" s="42">
        <f>IF(ISBLANK(AE208),"",": ")</f>
        <v/>
      </c>
      <c r="AG208" s="42" t="inlineStr">
        <is>
          <t>FY27 reduction (-5%)</t>
        </is>
      </c>
      <c r="AH208" s="42">
        <f>IF(ISBLANK(AE208),"","&lt;/b&gt;")</f>
        <v/>
      </c>
      <c r="AI208" s="42" t="n"/>
      <c r="AJ208" s="42">
        <f>IF(ISBLANK(AI208),"","&lt;br&gt;"&amp;AI208)</f>
        <v/>
      </c>
      <c r="AK208" s="4" t="inlineStr">
        <is>
          <t>&lt;br&gt;</t>
        </is>
      </c>
      <c r="AL208" s="42" t="inlineStr">
        <is>
          <t>&lt;b&gt;&lt;i&gt;</t>
        </is>
      </c>
      <c r="AM208" s="42" t="inlineStr">
        <is>
          <t>Governor's 3% + JFAC's 2%</t>
        </is>
      </c>
      <c r="AN208" s="42">
        <f>IF(ISBLANK(AM208),"","&lt;/i&gt;")</f>
        <v/>
      </c>
      <c r="AO208" s="35">
        <f>IF(ISBLANK(AQ208),"","&lt;/b&gt;&lt;br&gt;&lt;br&gt;")</f>
        <v/>
      </c>
      <c r="AP208" s="42">
        <f>IF(ISBLANK(AQ208),"","&lt;b&gt;")</f>
        <v/>
      </c>
      <c r="AQ208" s="47" t="inlineStr">
        <is>
          <t xml:space="preserve">Agency Reduction Plan:&lt;br&gt;Additional </t>
        </is>
      </c>
      <c r="AR208" s="42" t="n">
        <v>2</v>
      </c>
      <c r="AS208" s="4">
        <f>IF(ISBLANK(AR208),""," %")</f>
        <v/>
      </c>
      <c r="AT208" s="4">
        <f t="array" ref="AT208">_xlfn.IFS(NOT(ISBLANK(AU208))," (pgs. ",NOT(ISBLANK(AS208))," (pg. ", ISBLANK(AS208), "")</f>
        <v/>
      </c>
      <c r="AU208" s="52" t="n">
        <v>86</v>
      </c>
      <c r="AV208" s="4">
        <f>IF(ISBLANK(AW208),"",", ")</f>
        <v/>
      </c>
      <c r="AW208" s="42" t="n"/>
      <c r="AX208" s="4">
        <f>IF(ISBLANK(AY208),"",",&lt;br&gt;")</f>
        <v/>
      </c>
      <c r="AY208" s="42" t="n"/>
      <c r="AZ208" s="49">
        <f>IF(ISBLANK(AU208),"",")&lt;/b&gt;")</f>
        <v/>
      </c>
      <c r="BA208" s="4">
        <f>IF(ISBLANK(BC208),"","&lt;br&gt;")</f>
        <v/>
      </c>
      <c r="BB208" s="42">
        <f t="array" ref="BB208">IF(ISBLANK(BC208),"",_xlfn.LET(
_xlpm.words,_xlfn.TEXTSPLIT(TRIM(BC208),"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08" s="50" t="inlineStr">
        <is>
          <t>This is OT salary savings generated by temporary vacancies and estimated savings generate based on future fill dates.</t>
        </is>
      </c>
    </row>
    <row r="209">
      <c r="A209" s="20">
        <f>_xlfn.TEXTJOIN("", TRUE, F209:H209)</f>
        <v/>
      </c>
      <c r="B209" s="21">
        <f>_xlfn.TEXTJOIN("", TRUE, I209:S209)</f>
        <v/>
      </c>
      <c r="C209" s="21">
        <f>IF(ISBLANK(X209),"", _xlfn.TEXTJOIN("",TRUE,T209:Z209))</f>
        <v/>
      </c>
      <c r="D209" s="21">
        <f>IF(ISBLANK(AB209), "", _xlfn.TEXTJOIN("", TRUE, AA209:AC209))</f>
        <v/>
      </c>
      <c r="E209" s="22">
        <f>IF(AU209="NA", _xlfn.TEXTJOIN("", TRUE, AD209:AH209), _xlfn.TEXTJOIN("", TRUE, AD209:AJ209))</f>
        <v/>
      </c>
      <c r="F209" s="42">
        <f>IF(LEFT(G209,4)="FY26","&lt;b&gt;","&lt;i&gt;")</f>
        <v/>
      </c>
      <c r="G209" s="42" t="inlineStr">
        <is>
          <t>FY27 Maintenance</t>
        </is>
      </c>
      <c r="H209" s="42">
        <f>IF(LEFT(G209,4)="FY26","&lt;/b&gt;","&lt;/i&gt;")</f>
        <v/>
      </c>
      <c r="I209" s="43" t="inlineStr">
        <is>
          <t>&lt;i&gt;</t>
        </is>
      </c>
      <c r="J209" s="44" t="inlineStr">
        <is>
          <t>Health &amp; Human Services</t>
        </is>
      </c>
      <c r="K209" s="44" t="inlineStr">
        <is>
          <t>&lt;/i&gt;</t>
        </is>
      </c>
      <c r="L209" s="4">
        <f>IF(ISBLANK(N209),"","&lt;br&gt;")</f>
        <v/>
      </c>
      <c r="M209" s="42">
        <f>IF(ISBLANK(R209),"&lt;b&gt;","&lt;i&gt;")</f>
        <v/>
      </c>
      <c r="N209" s="42" t="inlineStr">
        <is>
          <t>Dept. of Health &amp; Welfare</t>
        </is>
      </c>
      <c r="O209" s="42">
        <f>IF(ISBLANK(R209),"&lt;/b&gt;","&lt;/i&gt;")</f>
        <v/>
      </c>
      <c r="P209" s="4">
        <f>IF(ISBLANK(R209),"","&lt;br&gt;")</f>
        <v/>
      </c>
      <c r="Q209" s="42">
        <f>IF(ISBLANK(R209),"","&lt;b&gt;")</f>
        <v/>
      </c>
      <c r="R209" s="42" t="inlineStr">
        <is>
          <t>Mental Health Services</t>
        </is>
      </c>
      <c r="S209" s="42">
        <f>IF(ISBLANK(R209),"","&lt;/i&gt;")</f>
        <v/>
      </c>
      <c r="T209" s="43">
        <f>IF(ISBLANK(X209),"",IF(OR(AB209="PASSED",ISBLANK(N209)),"&lt;b&gt;","&lt;i&gt;"))</f>
        <v/>
      </c>
      <c r="U209" s="3">
        <f>IF(ISBLANK(V209),"","&lt;a href='")</f>
        <v/>
      </c>
      <c r="V209" s="39" t="inlineStr">
        <is>
          <t>https://legislature.idaho.gov/sessioninfo/2026/legislation/S1375/</t>
        </is>
      </c>
      <c r="W209" s="17">
        <f>IF(ISBLANK(V209),"","'&gt;")</f>
        <v/>
      </c>
      <c r="X209" s="12" t="inlineStr">
        <is>
          <t>Senate Bill 1375</t>
        </is>
      </c>
      <c r="Y209" s="17">
        <f>IF(ISBLANK(X209),"","&lt;/a&gt;")</f>
        <v/>
      </c>
      <c r="Z209" s="42">
        <f>IF(ISBLANK(X209),"",IF(OR(AB209="PASSED",ISBLANK(N209)),"&lt;/b&gt;","&lt;/i&gt;"))</f>
        <v/>
      </c>
      <c r="AA209" s="43">
        <f>IF(AB209="PASSED","&lt;b&gt;","")</f>
        <v/>
      </c>
      <c r="AB209" s="45" t="inlineStr">
        <is>
          <t>INTRODUCED</t>
        </is>
      </c>
      <c r="AC209" s="43">
        <f>IF(AB209="PASSED","&lt;/b&gt;","")</f>
        <v/>
      </c>
      <c r="AD209" s="43">
        <f>IF(ISBLANK(AE209),"","&lt;b&gt;")</f>
        <v/>
      </c>
      <c r="AE209" s="51" t="inlineStr">
        <is>
          <t>02/13</t>
        </is>
      </c>
      <c r="AF209" s="42">
        <f>IF(ISBLANK(AE209),"",": ")</f>
        <v/>
      </c>
      <c r="AG209" s="42" t="inlineStr">
        <is>
          <t>FY27 reduction (-5%)</t>
        </is>
      </c>
      <c r="AH209" s="42">
        <f>IF(ISBLANK(AE209),"","&lt;/b&gt;")</f>
        <v/>
      </c>
      <c r="AI209" s="42" t="n"/>
      <c r="AJ209" s="42">
        <f>IF(ISBLANK(AI209),"","&lt;br&gt;"&amp;AI209)</f>
        <v/>
      </c>
      <c r="AK209" s="4" t="inlineStr">
        <is>
          <t>&lt;br&gt;</t>
        </is>
      </c>
      <c r="AL209" s="42" t="inlineStr">
        <is>
          <t>&lt;b&gt;&lt;i&gt;</t>
        </is>
      </c>
      <c r="AM209" s="42" t="inlineStr">
        <is>
          <t>Governor's 3% + JFAC's 2%</t>
        </is>
      </c>
      <c r="AN209" s="42">
        <f>IF(ISBLANK(AM209),"","&lt;/i&gt;")</f>
        <v/>
      </c>
      <c r="AO209" s="35">
        <f>IF(ISBLANK(AQ209),"","&lt;/b&gt;&lt;br&gt;&lt;br&gt;")</f>
        <v/>
      </c>
      <c r="AP209" s="42">
        <f>IF(ISBLANK(AQ209),"","&lt;b&gt;")</f>
        <v/>
      </c>
      <c r="AQ209" s="47" t="inlineStr">
        <is>
          <t xml:space="preserve">Agency Reduction Plan:&lt;br&gt;Additional </t>
        </is>
      </c>
      <c r="AR209" s="42" t="n">
        <v>2</v>
      </c>
      <c r="AS209" s="4">
        <f>IF(ISBLANK(AR209),""," %")</f>
        <v/>
      </c>
      <c r="AT209" s="4">
        <f t="array" ref="AT209">_xlfn.IFS(NOT(ISBLANK(AU209))," (pgs. ",NOT(ISBLANK(AS209))," (pg. ", ISBLANK(AS209), "")</f>
        <v/>
      </c>
      <c r="AU209" s="52" t="n">
        <v>86</v>
      </c>
      <c r="AV209" s="4">
        <f>IF(ISBLANK(AW209),"",", ")</f>
        <v/>
      </c>
      <c r="AW209" s="42" t="n"/>
      <c r="AX209" s="4">
        <f>IF(ISBLANK(AY209),"",",&lt;br&gt;")</f>
        <v/>
      </c>
      <c r="AY209" s="42" t="n"/>
      <c r="AZ209" s="49">
        <f>IF(ISBLANK(AU209),"",")&lt;/b&gt;")</f>
        <v/>
      </c>
      <c r="BA209" s="4">
        <f>IF(ISBLANK(BC209),"","&lt;br&gt;")</f>
        <v/>
      </c>
      <c r="BB209" s="42">
        <f t="array" ref="BB209">IF(ISBLANK(BC209),"",_xlfn.LET(
_xlpm.words,_xlfn.TEXTSPLIT(TRIM(BC209),"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09" s="50" t="inlineStr">
        <is>
          <t>This is OT salary savings generated by temporary vacancies and estimated savings generate based on future fill dates.</t>
        </is>
      </c>
    </row>
    <row r="210">
      <c r="A210" s="20">
        <f>_xlfn.TEXTJOIN("", TRUE, F210:H210)</f>
        <v/>
      </c>
      <c r="B210" s="21">
        <f>_xlfn.TEXTJOIN("", TRUE, I210:S210)</f>
        <v/>
      </c>
      <c r="C210" s="21">
        <f>IF(ISBLANK(X210),"", _xlfn.TEXTJOIN("",TRUE,T210:Z210))</f>
        <v/>
      </c>
      <c r="D210" s="21">
        <f>IF(ISBLANK(AB210), "", _xlfn.TEXTJOIN("", TRUE, AA210:AC210))</f>
        <v/>
      </c>
      <c r="E210" s="22">
        <f>IF(AU210="NA", _xlfn.TEXTJOIN("", TRUE, AD210:AH210), _xlfn.TEXTJOIN("", TRUE, AD210:AJ210))</f>
        <v/>
      </c>
      <c r="F210" s="42">
        <f>IF(LEFT(G210,4)="FY26","&lt;b&gt;","&lt;i&gt;")</f>
        <v/>
      </c>
      <c r="G210" s="42" t="inlineStr">
        <is>
          <t>FY27 Maintenance</t>
        </is>
      </c>
      <c r="H210" s="42">
        <f>IF(LEFT(G210,4)="FY26","&lt;/b&gt;","&lt;/i&gt;")</f>
        <v/>
      </c>
      <c r="I210" s="43" t="inlineStr">
        <is>
          <t>&lt;i&gt;</t>
        </is>
      </c>
      <c r="J210" s="44" t="inlineStr">
        <is>
          <t>Health &amp; Human Services</t>
        </is>
      </c>
      <c r="K210" s="44" t="inlineStr">
        <is>
          <t>&lt;/i&gt;</t>
        </is>
      </c>
      <c r="L210" s="4">
        <f>IF(ISBLANK(N210),"","&lt;br&gt;")</f>
        <v/>
      </c>
      <c r="M210" s="42">
        <f>IF(ISBLANK(R210),"&lt;b&gt;","&lt;i&gt;")</f>
        <v/>
      </c>
      <c r="N210" s="42" t="inlineStr">
        <is>
          <t>Dept. of Health &amp; Welfare</t>
        </is>
      </c>
      <c r="O210" s="42">
        <f>IF(ISBLANK(R210),"&lt;/b&gt;","&lt;/i&gt;")</f>
        <v/>
      </c>
      <c r="P210" s="4">
        <f>IF(ISBLANK(R210),"","&lt;br&gt;")</f>
        <v/>
      </c>
      <c r="Q210" s="42">
        <f>IF(ISBLANK(R210),"","&lt;b&gt;")</f>
        <v/>
      </c>
      <c r="R210" s="42" t="inlineStr">
        <is>
          <t>Psychiatric Hospitalization</t>
        </is>
      </c>
      <c r="S210" s="42">
        <f>IF(ISBLANK(R210),"","&lt;/i&gt;")</f>
        <v/>
      </c>
      <c r="T210" s="43">
        <f>IF(ISBLANK(X210),"",IF(OR(AB210="PASSED",ISBLANK(N210)),"&lt;b&gt;","&lt;i&gt;"))</f>
        <v/>
      </c>
      <c r="U210" s="3">
        <f>IF(ISBLANK(V210),"","&lt;a href='")</f>
        <v/>
      </c>
      <c r="V210" s="39" t="inlineStr">
        <is>
          <t>https://legislature.idaho.gov/sessioninfo/2026/legislation/S1375/</t>
        </is>
      </c>
      <c r="W210" s="17">
        <f>IF(ISBLANK(V210),"","'&gt;")</f>
        <v/>
      </c>
      <c r="X210" s="12" t="inlineStr">
        <is>
          <t>Senate Bill 1375</t>
        </is>
      </c>
      <c r="Y210" s="17">
        <f>IF(ISBLANK(X210),"","&lt;/a&gt;")</f>
        <v/>
      </c>
      <c r="Z210" s="42">
        <f>IF(ISBLANK(X210),"",IF(OR(AB210="PASSED",ISBLANK(N210)),"&lt;/b&gt;","&lt;/i&gt;"))</f>
        <v/>
      </c>
      <c r="AA210" s="43">
        <f>IF(AB210="PASSED","&lt;b&gt;","")</f>
        <v/>
      </c>
      <c r="AB210" s="45" t="inlineStr">
        <is>
          <t>INTRODUCED</t>
        </is>
      </c>
      <c r="AC210" s="43">
        <f>IF(AB210="PASSED","&lt;/b&gt;","")</f>
        <v/>
      </c>
      <c r="AD210" s="43">
        <f>IF(ISBLANK(AE210),"","&lt;b&gt;")</f>
        <v/>
      </c>
      <c r="AE210" s="51" t="inlineStr">
        <is>
          <t>02/13</t>
        </is>
      </c>
      <c r="AF210" s="42">
        <f>IF(ISBLANK(AE210),"",": ")</f>
        <v/>
      </c>
      <c r="AG210" s="42" t="inlineStr">
        <is>
          <t>FY27 reduction (-5%)</t>
        </is>
      </c>
      <c r="AH210" s="42">
        <f>IF(ISBLANK(AE210),"","&lt;/b&gt;")</f>
        <v/>
      </c>
      <c r="AI210" s="42" t="n"/>
      <c r="AJ210" s="42">
        <f>IF(ISBLANK(AI210),"","&lt;br&gt;"&amp;AI210)</f>
        <v/>
      </c>
      <c r="AK210" s="4" t="inlineStr">
        <is>
          <t>&lt;br&gt;</t>
        </is>
      </c>
      <c r="AL210" s="42" t="inlineStr">
        <is>
          <t>&lt;b&gt;&lt;i&gt;</t>
        </is>
      </c>
      <c r="AM210" s="42" t="inlineStr">
        <is>
          <t>Governor's 3% + JFAC's 2%</t>
        </is>
      </c>
      <c r="AN210" s="42">
        <f>IF(ISBLANK(AM210),"","&lt;/i&gt;")</f>
        <v/>
      </c>
      <c r="AO210" s="35">
        <f>IF(ISBLANK(AQ210),"","&lt;/b&gt;&lt;br&gt;&lt;br&gt;")</f>
        <v/>
      </c>
      <c r="AP210" s="42">
        <f>IF(ISBLANK(AQ210),"","&lt;b&gt;")</f>
        <v/>
      </c>
      <c r="AQ210" s="47" t="inlineStr">
        <is>
          <t xml:space="preserve">Agency Reduction Plan:&lt;br&gt;Additional </t>
        </is>
      </c>
      <c r="AR210" s="42" t="n">
        <v>2</v>
      </c>
      <c r="AS210" s="4">
        <f>IF(ISBLANK(AR210),""," %")</f>
        <v/>
      </c>
      <c r="AT210" s="4">
        <f t="array" ref="AT210">_xlfn.IFS(NOT(ISBLANK(AU210))," (pgs. ",NOT(ISBLANK(AS210))," (pg. ", ISBLANK(AS210), "")</f>
        <v/>
      </c>
      <c r="AU210" s="52" t="n">
        <v>86</v>
      </c>
      <c r="AV210" s="4">
        <f>IF(ISBLANK(AW210),"",", ")</f>
        <v/>
      </c>
      <c r="AW210" s="42" t="n"/>
      <c r="AX210" s="4">
        <f>IF(ISBLANK(AY210),"",",&lt;br&gt;")</f>
        <v/>
      </c>
      <c r="AY210" s="42" t="n"/>
      <c r="AZ210" s="49">
        <f>IF(ISBLANK(AU210),"",")&lt;/b&gt;")</f>
        <v/>
      </c>
      <c r="BA210" s="4">
        <f>IF(ISBLANK(BC210),"","&lt;br&gt;")</f>
        <v/>
      </c>
      <c r="BB210" s="42">
        <f t="array" ref="BB210">IF(ISBLANK(BC210),"",_xlfn.LET(
_xlpm.words,_xlfn.TEXTSPLIT(TRIM(BC210),"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10" s="50" t="inlineStr">
        <is>
          <t>This is OT salary savings generated by temporary vacancies and estimated savings generate based on future fill dates.</t>
        </is>
      </c>
    </row>
    <row r="211">
      <c r="A211" s="20">
        <f>_xlfn.TEXTJOIN("", TRUE, F211:H211)</f>
        <v/>
      </c>
      <c r="B211" s="21">
        <f>_xlfn.TEXTJOIN("", TRUE, I211:S211)</f>
        <v/>
      </c>
      <c r="C211" s="21">
        <f>IF(ISBLANK(X211),"", _xlfn.TEXTJOIN("",TRUE,T211:Z211))</f>
        <v/>
      </c>
      <c r="D211" s="21">
        <f>IF(ISBLANK(AB211), "", _xlfn.TEXTJOIN("", TRUE, AA211:AC211))</f>
        <v/>
      </c>
      <c r="E211" s="22">
        <f>IF(AU211="NA", _xlfn.TEXTJOIN("", TRUE, AD211:AH211), _xlfn.TEXTJOIN("", TRUE, AD211:AJ211))</f>
        <v/>
      </c>
      <c r="F211" s="42">
        <f>IF(LEFT(G211,4)="FY26","&lt;b&gt;","&lt;i&gt;")</f>
        <v/>
      </c>
      <c r="G211" s="42" t="inlineStr">
        <is>
          <t>FY27 Maintenance</t>
        </is>
      </c>
      <c r="H211" s="42">
        <f>IF(LEFT(G211,4)="FY26","&lt;/b&gt;","&lt;/i&gt;")</f>
        <v/>
      </c>
      <c r="I211" s="43" t="inlineStr">
        <is>
          <t>&lt;i&gt;</t>
        </is>
      </c>
      <c r="J211" s="44" t="inlineStr">
        <is>
          <t>Health &amp; Human Services</t>
        </is>
      </c>
      <c r="K211" s="44" t="inlineStr">
        <is>
          <t>&lt;/i&gt;</t>
        </is>
      </c>
      <c r="L211" s="4">
        <f>IF(ISBLANK(N211),"","&lt;br&gt;")</f>
        <v/>
      </c>
      <c r="M211" s="42">
        <f>IF(ISBLANK(R211),"&lt;b&gt;","&lt;i&gt;")</f>
        <v/>
      </c>
      <c r="N211" s="42" t="inlineStr">
        <is>
          <t>Dept. of Health &amp; Welfare</t>
        </is>
      </c>
      <c r="O211" s="42">
        <f>IF(ISBLANK(R211),"&lt;/b&gt;","&lt;/i&gt;")</f>
        <v/>
      </c>
      <c r="P211" s="4">
        <f>IF(ISBLANK(R211),"","&lt;br&gt;")</f>
        <v/>
      </c>
      <c r="Q211" s="42">
        <f>IF(ISBLANK(R211),"","&lt;b&gt;")</f>
        <v/>
      </c>
      <c r="R211" s="42" t="inlineStr">
        <is>
          <t>Public Health Services</t>
        </is>
      </c>
      <c r="S211" s="42">
        <f>IF(ISBLANK(R211),"","&lt;/i&gt;")</f>
        <v/>
      </c>
      <c r="T211" s="43">
        <f>IF(ISBLANK(X211),"",IF(OR(AB211="PASSED",ISBLANK(N211)),"&lt;b&gt;","&lt;i&gt;"))</f>
        <v/>
      </c>
      <c r="U211" s="3">
        <f>IF(ISBLANK(V211),"","&lt;a href='")</f>
        <v/>
      </c>
      <c r="V211" s="39" t="inlineStr">
        <is>
          <t>https://legislature.idaho.gov/sessioninfo/2026/legislation/S1375/</t>
        </is>
      </c>
      <c r="W211" s="17">
        <f>IF(ISBLANK(V211),"","'&gt;")</f>
        <v/>
      </c>
      <c r="X211" s="12" t="inlineStr">
        <is>
          <t>Senate Bill 1375</t>
        </is>
      </c>
      <c r="Y211" s="17">
        <f>IF(ISBLANK(X211),"","&lt;/a&gt;")</f>
        <v/>
      </c>
      <c r="Z211" s="42">
        <f>IF(ISBLANK(X211),"",IF(OR(AB211="PASSED",ISBLANK(N211)),"&lt;/b&gt;","&lt;/i&gt;"))</f>
        <v/>
      </c>
      <c r="AA211" s="43">
        <f>IF(AB211="PASSED","&lt;b&gt;","")</f>
        <v/>
      </c>
      <c r="AB211" s="45" t="inlineStr">
        <is>
          <t>INTRODUCED</t>
        </is>
      </c>
      <c r="AC211" s="43">
        <f>IF(AB211="PASSED","&lt;/b&gt;","")</f>
        <v/>
      </c>
      <c r="AD211" s="43">
        <f>IF(ISBLANK(AE211),"","&lt;b&gt;")</f>
        <v/>
      </c>
      <c r="AE211" s="51" t="inlineStr">
        <is>
          <t>02/13</t>
        </is>
      </c>
      <c r="AF211" s="42">
        <f>IF(ISBLANK(AE211),"",": ")</f>
        <v/>
      </c>
      <c r="AG211" s="42" t="inlineStr">
        <is>
          <t>FY27 reduction (-5%)</t>
        </is>
      </c>
      <c r="AH211" s="42">
        <f>IF(ISBLANK(AE211),"","&lt;/b&gt;")</f>
        <v/>
      </c>
      <c r="AI211" s="42" t="n"/>
      <c r="AJ211" s="42">
        <f>IF(ISBLANK(AI211),"","&lt;br&gt;"&amp;AI211)</f>
        <v/>
      </c>
      <c r="AK211" s="4" t="inlineStr">
        <is>
          <t>&lt;br&gt;</t>
        </is>
      </c>
      <c r="AL211" s="42" t="inlineStr">
        <is>
          <t>&lt;b&gt;&lt;i&gt;</t>
        </is>
      </c>
      <c r="AM211" s="42" t="inlineStr">
        <is>
          <t>Governor's 3% + JFAC's 2%</t>
        </is>
      </c>
      <c r="AN211" s="42">
        <f>IF(ISBLANK(AM211),"","&lt;/i&gt;")</f>
        <v/>
      </c>
      <c r="AO211" s="35">
        <f>IF(ISBLANK(AQ211),"","&lt;/b&gt;&lt;br&gt;&lt;br&gt;")</f>
        <v/>
      </c>
      <c r="AP211" s="42">
        <f>IF(ISBLANK(AQ211),"","&lt;b&gt;")</f>
        <v/>
      </c>
      <c r="AQ211" s="47" t="inlineStr">
        <is>
          <t xml:space="preserve">Agency Reduction Plan:&lt;br&gt;Additional </t>
        </is>
      </c>
      <c r="AR211" s="42" t="n">
        <v>2</v>
      </c>
      <c r="AS211" s="4">
        <f>IF(ISBLANK(AR211),""," %")</f>
        <v/>
      </c>
      <c r="AT211" s="4">
        <f t="array" ref="AT211">_xlfn.IFS(NOT(ISBLANK(AU211))," (pgs. ",NOT(ISBLANK(AS211))," (pg. ", ISBLANK(AS211), "")</f>
        <v/>
      </c>
      <c r="AU211" s="52" t="n">
        <v>86</v>
      </c>
      <c r="AV211" s="4">
        <f>IF(ISBLANK(AW211),"",", ")</f>
        <v/>
      </c>
      <c r="AW211" s="42" t="n"/>
      <c r="AX211" s="4">
        <f>IF(ISBLANK(AY211),"",",&lt;br&gt;")</f>
        <v/>
      </c>
      <c r="AY211" s="42" t="n"/>
      <c r="AZ211" s="49">
        <f>IF(ISBLANK(AU211),"",")&lt;/b&gt;")</f>
        <v/>
      </c>
      <c r="BA211" s="4">
        <f>IF(ISBLANK(BC211),"","&lt;br&gt;")</f>
        <v/>
      </c>
      <c r="BB211" s="42">
        <f t="array" ref="BB211">IF(ISBLANK(BC211),"",_xlfn.LET(
_xlpm.words,_xlfn.TEXTSPLIT(TRIM(BC211),"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11" s="50" t="inlineStr">
        <is>
          <t>This is OT salary savings generated by temporary vacancies and estimated savings generate based on future fill dates.</t>
        </is>
      </c>
    </row>
    <row r="212">
      <c r="A212" s="20">
        <f>_xlfn.TEXTJOIN("", TRUE, F212:H212)</f>
        <v/>
      </c>
      <c r="B212" s="21">
        <f>_xlfn.TEXTJOIN("", TRUE, I212:S212)</f>
        <v/>
      </c>
      <c r="C212" s="21">
        <f>IF(ISBLANK(X212),"", _xlfn.TEXTJOIN("",TRUE,T212:Z212))</f>
        <v/>
      </c>
      <c r="D212" s="21">
        <f>IF(ISBLANK(AB212), "", _xlfn.TEXTJOIN("", TRUE, AA212:AC212))</f>
        <v/>
      </c>
      <c r="E212" s="22">
        <f>IF(AU212="NA", _xlfn.TEXTJOIN("", TRUE, AD212:AH212), _xlfn.TEXTJOIN("", TRUE, AD212:AJ212))</f>
        <v/>
      </c>
      <c r="F212" s="42">
        <f>IF(LEFT(G212,4)="FY26","&lt;b&gt;","&lt;i&gt;")</f>
        <v/>
      </c>
      <c r="G212" s="42" t="inlineStr">
        <is>
          <t>FY27 Maintenance</t>
        </is>
      </c>
      <c r="H212" s="42">
        <f>IF(LEFT(G212,4)="FY26","&lt;/b&gt;","&lt;/i&gt;")</f>
        <v/>
      </c>
      <c r="I212" s="43" t="inlineStr">
        <is>
          <t>&lt;i&gt;</t>
        </is>
      </c>
      <c r="J212" s="44" t="inlineStr">
        <is>
          <t>Health &amp; Human Services</t>
        </is>
      </c>
      <c r="K212" s="44" t="inlineStr">
        <is>
          <t>&lt;/i&gt;</t>
        </is>
      </c>
      <c r="L212" s="4">
        <f>IF(ISBLANK(N212),"","&lt;br&gt;")</f>
        <v/>
      </c>
      <c r="M212" s="42">
        <f>IF(ISBLANK(R212),"&lt;b&gt;","&lt;i&gt;")</f>
        <v/>
      </c>
      <c r="N212" s="42" t="inlineStr">
        <is>
          <t>Dept. of Health &amp; Welfare</t>
        </is>
      </c>
      <c r="O212" s="42">
        <f>IF(ISBLANK(R212),"&lt;/b&gt;","&lt;/i&gt;")</f>
        <v/>
      </c>
      <c r="P212" s="4">
        <f>IF(ISBLANK(R212),"","&lt;br&gt;")</f>
        <v/>
      </c>
      <c r="Q212" s="42">
        <f>IF(ISBLANK(R212),"","&lt;b&gt;")</f>
        <v/>
      </c>
      <c r="R212" s="42" t="inlineStr">
        <is>
          <t>Service Integration</t>
        </is>
      </c>
      <c r="S212" s="42">
        <f>IF(ISBLANK(R212),"","&lt;/i&gt;")</f>
        <v/>
      </c>
      <c r="T212" s="43">
        <f>IF(ISBLANK(X212),"",IF(OR(AB212="PASSED",ISBLANK(N212)),"&lt;b&gt;","&lt;i&gt;"))</f>
        <v/>
      </c>
      <c r="U212" s="3">
        <f>IF(ISBLANK(V212),"","&lt;a href='")</f>
        <v/>
      </c>
      <c r="V212" s="39" t="inlineStr">
        <is>
          <t>https://legislature.idaho.gov/sessioninfo/2026/legislation/S1375/</t>
        </is>
      </c>
      <c r="W212" s="17">
        <f>IF(ISBLANK(V212),"","'&gt;")</f>
        <v/>
      </c>
      <c r="X212" s="12" t="inlineStr">
        <is>
          <t>Senate Bill 1375</t>
        </is>
      </c>
      <c r="Y212" s="17">
        <f>IF(ISBLANK(X212),"","&lt;/a&gt;")</f>
        <v/>
      </c>
      <c r="Z212" s="42">
        <f>IF(ISBLANK(X212),"",IF(OR(AB212="PASSED",ISBLANK(N212)),"&lt;/b&gt;","&lt;/i&gt;"))</f>
        <v/>
      </c>
      <c r="AA212" s="43">
        <f>IF(AB212="PASSED","&lt;b&gt;","")</f>
        <v/>
      </c>
      <c r="AB212" s="45" t="inlineStr">
        <is>
          <t>INTRODUCED</t>
        </is>
      </c>
      <c r="AC212" s="43">
        <f>IF(AB212="PASSED","&lt;/b&gt;","")</f>
        <v/>
      </c>
      <c r="AD212" s="43">
        <f>IF(ISBLANK(AE212),"","&lt;b&gt;")</f>
        <v/>
      </c>
      <c r="AE212" s="51" t="inlineStr">
        <is>
          <t>02/13</t>
        </is>
      </c>
      <c r="AF212" s="42">
        <f>IF(ISBLANK(AE212),"",": ")</f>
        <v/>
      </c>
      <c r="AG212" s="42" t="inlineStr">
        <is>
          <t>FY27 reduction (-5%)</t>
        </is>
      </c>
      <c r="AH212" s="42">
        <f>IF(ISBLANK(AE212),"","&lt;/b&gt;")</f>
        <v/>
      </c>
      <c r="AI212" s="42" t="n"/>
      <c r="AJ212" s="42">
        <f>IF(ISBLANK(AI212),"","&lt;br&gt;"&amp;AI212)</f>
        <v/>
      </c>
      <c r="AK212" s="4" t="inlineStr">
        <is>
          <t>&lt;br&gt;</t>
        </is>
      </c>
      <c r="AL212" s="42" t="inlineStr">
        <is>
          <t>&lt;b&gt;&lt;i&gt;</t>
        </is>
      </c>
      <c r="AM212" s="42" t="inlineStr">
        <is>
          <t>Governor's 3% + JFAC's 2%</t>
        </is>
      </c>
      <c r="AN212" s="42">
        <f>IF(ISBLANK(AM212),"","&lt;/i&gt;")</f>
        <v/>
      </c>
      <c r="AO212" s="35">
        <f>IF(ISBLANK(AQ212),"","&lt;/b&gt;&lt;br&gt;&lt;br&gt;")</f>
        <v/>
      </c>
      <c r="AP212" s="42">
        <f>IF(ISBLANK(AQ212),"","&lt;b&gt;")</f>
        <v/>
      </c>
      <c r="AQ212" s="47" t="inlineStr">
        <is>
          <t xml:space="preserve">Agency Reduction Plan:&lt;br&gt;Additional </t>
        </is>
      </c>
      <c r="AR212" s="42" t="n">
        <v>2</v>
      </c>
      <c r="AS212" s="4">
        <f>IF(ISBLANK(AR212),""," %")</f>
        <v/>
      </c>
      <c r="AT212" s="4">
        <f t="array" ref="AT212">_xlfn.IFS(NOT(ISBLANK(AU212))," (pgs. ",NOT(ISBLANK(AS212))," (pg. ", ISBLANK(AS212), "")</f>
        <v/>
      </c>
      <c r="AU212" s="52" t="n">
        <v>86</v>
      </c>
      <c r="AV212" s="4">
        <f>IF(ISBLANK(AW212),"",", ")</f>
        <v/>
      </c>
      <c r="AW212" s="42" t="n"/>
      <c r="AX212" s="4">
        <f>IF(ISBLANK(AY212),"",",&lt;br&gt;")</f>
        <v/>
      </c>
      <c r="AY212" s="42" t="n"/>
      <c r="AZ212" s="49">
        <f>IF(ISBLANK(AU212),"",")&lt;/b&gt;")</f>
        <v/>
      </c>
      <c r="BA212" s="4">
        <f>IF(ISBLANK(BC212),"","&lt;br&gt;")</f>
        <v/>
      </c>
      <c r="BB212" s="42">
        <f t="array" ref="BB212">IF(ISBLANK(BC212),"",_xlfn.LET(
_xlpm.words,_xlfn.TEXTSPLIT(TRIM(BC212),"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12" s="50" t="inlineStr">
        <is>
          <t>This is OT salary savings generated by temporary vacancies and estimated savings generate based on future fill dates.</t>
        </is>
      </c>
    </row>
    <row r="213">
      <c r="A213" s="20">
        <f>_xlfn.TEXTJOIN("", TRUE, F213:H213)</f>
        <v/>
      </c>
      <c r="B213" s="21">
        <f>_xlfn.TEXTJOIN("", TRUE, I213:S213)</f>
        <v/>
      </c>
      <c r="C213" s="21">
        <f>IF(ISBLANK(X213),"", _xlfn.TEXTJOIN("",TRUE,T213:Z213))</f>
        <v/>
      </c>
      <c r="D213" s="21">
        <f>IF(ISBLANK(AB213), "", _xlfn.TEXTJOIN("", TRUE, AA213:AC213))</f>
        <v/>
      </c>
      <c r="E213" s="22">
        <f>IF(AU213="NA", _xlfn.TEXTJOIN("", TRUE, AD213:AH213), _xlfn.TEXTJOIN("", TRUE, AD213:AJ213))</f>
        <v/>
      </c>
      <c r="F213" s="42">
        <f>IF(LEFT(G213,4)="FY26","&lt;b&gt;","&lt;i&gt;")</f>
        <v/>
      </c>
      <c r="G213" s="42" t="inlineStr">
        <is>
          <t>FY27 Maintenance</t>
        </is>
      </c>
      <c r="H213" s="42">
        <f>IF(LEFT(G213,4)="FY26","&lt;/b&gt;","&lt;/i&gt;")</f>
        <v/>
      </c>
      <c r="I213" s="43" t="inlineStr">
        <is>
          <t>&lt;i&gt;</t>
        </is>
      </c>
      <c r="J213" s="44" t="inlineStr">
        <is>
          <t>Health &amp; Human Services</t>
        </is>
      </c>
      <c r="K213" s="44" t="inlineStr">
        <is>
          <t>&lt;/i&gt;</t>
        </is>
      </c>
      <c r="L213" s="4">
        <f>IF(ISBLANK(N213),"","&lt;br&gt;")</f>
        <v/>
      </c>
      <c r="M213" s="42">
        <f>IF(ISBLANK(R213),"&lt;b&gt;","&lt;i&gt;")</f>
        <v/>
      </c>
      <c r="N213" s="42" t="inlineStr">
        <is>
          <t>Dept. of Health &amp; Welfare</t>
        </is>
      </c>
      <c r="O213" s="42">
        <f>IF(ISBLANK(R213),"&lt;/b&gt;","&lt;/i&gt;")</f>
        <v/>
      </c>
      <c r="P213" s="4">
        <f>IF(ISBLANK(R213),"","&lt;br&gt;")</f>
        <v/>
      </c>
      <c r="Q213" s="42">
        <f>IF(ISBLANK(R213),"","&lt;b&gt;")</f>
        <v/>
      </c>
      <c r="R213" s="42" t="inlineStr">
        <is>
          <t>Services for the Developmentally Disabled</t>
        </is>
      </c>
      <c r="S213" s="42">
        <f>IF(ISBLANK(R213),"","&lt;/i&gt;")</f>
        <v/>
      </c>
      <c r="T213" s="43">
        <f>IF(ISBLANK(X213),"",IF(OR(AB213="PASSED",ISBLANK(N213)),"&lt;b&gt;","&lt;i&gt;"))</f>
        <v/>
      </c>
      <c r="U213" s="3">
        <f>IF(ISBLANK(V213),"","&lt;a href='")</f>
        <v/>
      </c>
      <c r="V213" s="39" t="inlineStr">
        <is>
          <t>https://legislature.idaho.gov/sessioninfo/2026/legislation/S1375/</t>
        </is>
      </c>
      <c r="W213" s="17">
        <f>IF(ISBLANK(V213),"","'&gt;")</f>
        <v/>
      </c>
      <c r="X213" s="12" t="inlineStr">
        <is>
          <t>Senate Bill 1375</t>
        </is>
      </c>
      <c r="Y213" s="17">
        <f>IF(ISBLANK(X213),"","&lt;/a&gt;")</f>
        <v/>
      </c>
      <c r="Z213" s="42">
        <f>IF(ISBLANK(X213),"",IF(OR(AB213="PASSED",ISBLANK(N213)),"&lt;/b&gt;","&lt;/i&gt;"))</f>
        <v/>
      </c>
      <c r="AA213" s="43">
        <f>IF(AB213="PASSED","&lt;b&gt;","")</f>
        <v/>
      </c>
      <c r="AB213" s="45" t="inlineStr">
        <is>
          <t>INTRODUCED</t>
        </is>
      </c>
      <c r="AC213" s="43">
        <f>IF(AB213="PASSED","&lt;/b&gt;","")</f>
        <v/>
      </c>
      <c r="AD213" s="43">
        <f>IF(ISBLANK(AE213),"","&lt;b&gt;")</f>
        <v/>
      </c>
      <c r="AE213" s="51" t="inlineStr">
        <is>
          <t>02/13</t>
        </is>
      </c>
      <c r="AF213" s="42">
        <f>IF(ISBLANK(AE213),"",": ")</f>
        <v/>
      </c>
      <c r="AG213" s="42" t="inlineStr">
        <is>
          <t>FY27 reduction (-5%)</t>
        </is>
      </c>
      <c r="AH213" s="42">
        <f>IF(ISBLANK(AE213),"","&lt;/b&gt;")</f>
        <v/>
      </c>
      <c r="AI213" s="42" t="n"/>
      <c r="AJ213" s="42">
        <f>IF(ISBLANK(AI213),"","&lt;br&gt;"&amp;AI213)</f>
        <v/>
      </c>
      <c r="AK213" s="4" t="inlineStr">
        <is>
          <t>&lt;br&gt;</t>
        </is>
      </c>
      <c r="AL213" s="42" t="inlineStr">
        <is>
          <t>&lt;b&gt;&lt;i&gt;</t>
        </is>
      </c>
      <c r="AM213" s="42" t="inlineStr">
        <is>
          <t>Governor's 3% + JFAC's 2%</t>
        </is>
      </c>
      <c r="AN213" s="42">
        <f>IF(ISBLANK(AM213),"","&lt;/i&gt;")</f>
        <v/>
      </c>
      <c r="AO213" s="35">
        <f>IF(ISBLANK(AQ213),"","&lt;/b&gt;&lt;br&gt;&lt;br&gt;")</f>
        <v/>
      </c>
      <c r="AP213" s="42">
        <f>IF(ISBLANK(AQ213),"","&lt;b&gt;")</f>
        <v/>
      </c>
      <c r="AQ213" s="47" t="inlineStr">
        <is>
          <t xml:space="preserve">Agency Reduction Plan:&lt;br&gt;Additional </t>
        </is>
      </c>
      <c r="AR213" s="42" t="n">
        <v>2</v>
      </c>
      <c r="AS213" s="4">
        <f>IF(ISBLANK(AR213),""," %")</f>
        <v/>
      </c>
      <c r="AT213" s="4">
        <f t="array" ref="AT213">_xlfn.IFS(NOT(ISBLANK(AU213))," (pgs. ",NOT(ISBLANK(AS213))," (pg. ", ISBLANK(AS213), "")</f>
        <v/>
      </c>
      <c r="AU213" s="52" t="n">
        <v>86</v>
      </c>
      <c r="AV213" s="4">
        <f>IF(ISBLANK(AW213),"",", ")</f>
        <v/>
      </c>
      <c r="AW213" s="42" t="n"/>
      <c r="AX213" s="4">
        <f>IF(ISBLANK(AY213),"",",&lt;br&gt;")</f>
        <v/>
      </c>
      <c r="AY213" s="42" t="n"/>
      <c r="AZ213" s="49">
        <f>IF(ISBLANK(AU213),"",")&lt;/b&gt;")</f>
        <v/>
      </c>
      <c r="BA213" s="4">
        <f>IF(ISBLANK(BC213),"","&lt;br&gt;")</f>
        <v/>
      </c>
      <c r="BB213" s="42">
        <f t="array" ref="BB213">IF(ISBLANK(BC213),"",_xlfn.LET(
_xlpm.words,_xlfn.TEXTSPLIT(TRIM(BC213),"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13" s="50" t="inlineStr">
        <is>
          <t>This is OT salary savings generated by temporary vacancies and estimated savings generate based on future fill dates.</t>
        </is>
      </c>
    </row>
    <row r="214">
      <c r="A214" s="20">
        <f>_xlfn.TEXTJOIN("", TRUE, F214:H214)</f>
        <v/>
      </c>
      <c r="B214" s="21">
        <f>_xlfn.TEXTJOIN("", TRUE, I214:S214)</f>
        <v/>
      </c>
      <c r="C214" s="21">
        <f>IF(ISBLANK(X214),"", _xlfn.TEXTJOIN("",TRUE,T214:Z214))</f>
        <v/>
      </c>
      <c r="D214" s="21">
        <f>IF(ISBLANK(AB214), "", _xlfn.TEXTJOIN("", TRUE, AA214:AC214))</f>
        <v/>
      </c>
      <c r="E214" s="22">
        <f>IF(AU214="NA", _xlfn.TEXTJOIN("", TRUE, AD214:AH214), _xlfn.TEXTJOIN("", TRUE, AD214:AJ214))</f>
        <v/>
      </c>
      <c r="F214" s="42">
        <f>IF(LEFT(G214,4)="FY26","&lt;b&gt;","&lt;i&gt;")</f>
        <v/>
      </c>
      <c r="G214" s="42" t="inlineStr">
        <is>
          <t>FY27 Maintenance</t>
        </is>
      </c>
      <c r="H214" s="42">
        <f>IF(LEFT(G214,4)="FY26","&lt;/b&gt;","&lt;/i&gt;")</f>
        <v/>
      </c>
      <c r="I214" s="43" t="inlineStr">
        <is>
          <t>&lt;i&gt;</t>
        </is>
      </c>
      <c r="J214" s="44" t="inlineStr">
        <is>
          <t>Health &amp; Human Services</t>
        </is>
      </c>
      <c r="K214" s="44" t="inlineStr">
        <is>
          <t>&lt;/i&gt;</t>
        </is>
      </c>
      <c r="L214" s="4">
        <f>IF(ISBLANK(N214),"","&lt;br&gt;")</f>
        <v/>
      </c>
      <c r="M214" s="42">
        <f>IF(ISBLANK(R214),"&lt;b&gt;","&lt;i&gt;")</f>
        <v/>
      </c>
      <c r="N214" s="42" t="inlineStr">
        <is>
          <t>Dept. of Health &amp; Welfare</t>
        </is>
      </c>
      <c r="O214" s="42">
        <f>IF(ISBLANK(R214),"&lt;/b&gt;","&lt;/i&gt;")</f>
        <v/>
      </c>
      <c r="P214" s="4">
        <f>IF(ISBLANK(R214),"","&lt;br&gt;")</f>
        <v/>
      </c>
      <c r="Q214" s="42">
        <f>IF(ISBLANK(R214),"","&lt;b&gt;")</f>
        <v/>
      </c>
      <c r="R214" s="42" t="inlineStr">
        <is>
          <t>Substance Abuse Treatment &amp; Prevention</t>
        </is>
      </c>
      <c r="S214" s="42">
        <f>IF(ISBLANK(R214),"","&lt;/i&gt;")</f>
        <v/>
      </c>
      <c r="T214" s="43">
        <f>IF(ISBLANK(X214),"",IF(OR(AB214="PASSED",ISBLANK(N214)),"&lt;b&gt;","&lt;i&gt;"))</f>
        <v/>
      </c>
      <c r="U214" s="3">
        <f>IF(ISBLANK(V214),"","&lt;a href='")</f>
        <v/>
      </c>
      <c r="V214" s="39" t="inlineStr">
        <is>
          <t>https://legislature.idaho.gov/sessioninfo/2026/legislation/S1375/</t>
        </is>
      </c>
      <c r="W214" s="17">
        <f>IF(ISBLANK(V214),"","'&gt;")</f>
        <v/>
      </c>
      <c r="X214" s="12" t="inlineStr">
        <is>
          <t>Senate Bill 1375</t>
        </is>
      </c>
      <c r="Y214" s="17">
        <f>IF(ISBLANK(X214),"","&lt;/a&gt;")</f>
        <v/>
      </c>
      <c r="Z214" s="42">
        <f>IF(ISBLANK(X214),"",IF(OR(AB214="PASSED",ISBLANK(N214)),"&lt;/b&gt;","&lt;/i&gt;"))</f>
        <v/>
      </c>
      <c r="AA214" s="43">
        <f>IF(AB214="PASSED","&lt;b&gt;","")</f>
        <v/>
      </c>
      <c r="AB214" s="45" t="inlineStr">
        <is>
          <t>INTRODUCED</t>
        </is>
      </c>
      <c r="AC214" s="43">
        <f>IF(AB214="PASSED","&lt;/b&gt;","")</f>
        <v/>
      </c>
      <c r="AD214" s="43">
        <f>IF(ISBLANK(AE214),"","&lt;b&gt;")</f>
        <v/>
      </c>
      <c r="AE214" s="51" t="inlineStr">
        <is>
          <t>02/13</t>
        </is>
      </c>
      <c r="AF214" s="42">
        <f>IF(ISBLANK(AE214),"",": ")</f>
        <v/>
      </c>
      <c r="AG214" s="42" t="inlineStr">
        <is>
          <t>FY27 reduction (-5%)</t>
        </is>
      </c>
      <c r="AH214" s="42">
        <f>IF(ISBLANK(AE214),"","&lt;/b&gt;")</f>
        <v/>
      </c>
      <c r="AI214" s="42" t="n"/>
      <c r="AJ214" s="42">
        <f>IF(ISBLANK(AI214),"","&lt;br&gt;"&amp;AI214)</f>
        <v/>
      </c>
      <c r="AK214" s="4" t="inlineStr">
        <is>
          <t>&lt;br&gt;</t>
        </is>
      </c>
      <c r="AL214" s="42" t="inlineStr">
        <is>
          <t>&lt;b&gt;&lt;i&gt;</t>
        </is>
      </c>
      <c r="AM214" s="42" t="inlineStr">
        <is>
          <t>Governor's 3% + JFAC's 2%</t>
        </is>
      </c>
      <c r="AN214" s="42">
        <f>IF(ISBLANK(AM214),"","&lt;/i&gt;")</f>
        <v/>
      </c>
      <c r="AO214" s="35">
        <f>IF(ISBLANK(AQ214),"","&lt;/b&gt;&lt;br&gt;&lt;br&gt;")</f>
        <v/>
      </c>
      <c r="AP214" s="42">
        <f>IF(ISBLANK(AQ214),"","&lt;b&gt;")</f>
        <v/>
      </c>
      <c r="AQ214" s="47" t="inlineStr">
        <is>
          <t xml:space="preserve">Agency Reduction Plan:&lt;br&gt;Additional </t>
        </is>
      </c>
      <c r="AR214" s="42" t="n">
        <v>2</v>
      </c>
      <c r="AS214" s="4">
        <f>IF(ISBLANK(AR214),""," %")</f>
        <v/>
      </c>
      <c r="AT214" s="4">
        <f t="array" ref="AT214">_xlfn.IFS(NOT(ISBLANK(AU214))," (pgs. ",NOT(ISBLANK(AS214))," (pg. ", ISBLANK(AS214), "")</f>
        <v/>
      </c>
      <c r="AU214" s="52" t="n">
        <v>86</v>
      </c>
      <c r="AV214" s="4">
        <f>IF(ISBLANK(AW214),"",", ")</f>
        <v/>
      </c>
      <c r="AW214" s="42" t="n"/>
      <c r="AX214" s="4">
        <f>IF(ISBLANK(AY214),"",",&lt;br&gt;")</f>
        <v/>
      </c>
      <c r="AY214" s="42" t="n"/>
      <c r="AZ214" s="49">
        <f>IF(ISBLANK(AU214),"",")&lt;/b&gt;")</f>
        <v/>
      </c>
      <c r="BA214" s="4">
        <f>IF(ISBLANK(BC214),"","&lt;br&gt;")</f>
        <v/>
      </c>
      <c r="BB214" s="42">
        <f t="array" ref="BB214">IF(ISBLANK(BC214),"",_xlfn.LET(
_xlpm.words,_xlfn.TEXTSPLIT(TRIM(BC214),"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14" s="50" t="inlineStr">
        <is>
          <t>This is OT salary savings generated by temporary vacancies and estimated savings generate based on future fill dates.</t>
        </is>
      </c>
    </row>
    <row r="215">
      <c r="A215" s="20">
        <f>_xlfn.TEXTJOIN("", TRUE, F215:H215)</f>
        <v/>
      </c>
      <c r="B215" s="21">
        <f>_xlfn.TEXTJOIN("", TRUE, I215:S215)</f>
        <v/>
      </c>
      <c r="C215" s="21">
        <f>IF(ISBLANK(X215),"", _xlfn.TEXTJOIN("",TRUE,T215:Z215))</f>
        <v/>
      </c>
      <c r="D215" s="21">
        <f>IF(ISBLANK(AB215), "", _xlfn.TEXTJOIN("", TRUE, AA215:AC215))</f>
        <v/>
      </c>
      <c r="E215" s="22">
        <f>IF(AU215="NA", _xlfn.TEXTJOIN("", TRUE, AD215:AH215), _xlfn.TEXTJOIN("", TRUE, AD215:AJ215))</f>
        <v/>
      </c>
      <c r="F215" s="42">
        <f>IF(LEFT(G215,4)="FY26","&lt;b&gt;","&lt;i&gt;")</f>
        <v/>
      </c>
      <c r="G215" s="42" t="inlineStr">
        <is>
          <t>FY27 Maintenance</t>
        </is>
      </c>
      <c r="H215" s="42">
        <f>IF(LEFT(G215,4)="FY26","&lt;/b&gt;","&lt;/i&gt;")</f>
        <v/>
      </c>
      <c r="I215" s="43" t="inlineStr">
        <is>
          <t>&lt;i&gt;</t>
        </is>
      </c>
      <c r="J215" s="44" t="inlineStr">
        <is>
          <t>Health &amp; Human Services</t>
        </is>
      </c>
      <c r="K215" s="44" t="inlineStr">
        <is>
          <t>&lt;/i&gt;</t>
        </is>
      </c>
      <c r="L215" s="4">
        <f>IF(ISBLANK(N215),"","&lt;br&gt;")</f>
        <v/>
      </c>
      <c r="M215" s="42">
        <f>IF(ISBLANK(R215),"&lt;b&gt;","&lt;i&gt;")</f>
        <v/>
      </c>
      <c r="N215" s="42" t="inlineStr">
        <is>
          <t>State Independent Living Council</t>
        </is>
      </c>
      <c r="O215" s="42">
        <f>IF(ISBLANK(R215),"&lt;/b&gt;","&lt;/i&gt;")</f>
        <v/>
      </c>
      <c r="P215" s="4">
        <f>IF(ISBLANK(R215),"","&lt;br&gt;")</f>
        <v/>
      </c>
      <c r="Q215" s="42">
        <f>IF(ISBLANK(R215),"","&lt;b&gt;")</f>
        <v/>
      </c>
      <c r="R215" s="42" t="n"/>
      <c r="S215" s="42">
        <f>IF(ISBLANK(R215),"","&lt;/i&gt;")</f>
        <v/>
      </c>
      <c r="T215" s="43">
        <f>IF(ISBLANK(X215),"",IF(OR(AB215="PASSED",ISBLANK(N215)),"&lt;b&gt;","&lt;i&gt;"))</f>
        <v/>
      </c>
      <c r="U215" s="3">
        <f>IF(ISBLANK(V215),"","&lt;a href='")</f>
        <v/>
      </c>
      <c r="V215" s="39" t="inlineStr">
        <is>
          <t>https://legislature.idaho.gov/sessioninfo/2026/legislation/S1375/</t>
        </is>
      </c>
      <c r="W215" s="17">
        <f>IF(ISBLANK(V215),"","'&gt;")</f>
        <v/>
      </c>
      <c r="X215" s="12" t="inlineStr">
        <is>
          <t>Senate Bill 1375</t>
        </is>
      </c>
      <c r="Y215" s="17">
        <f>IF(ISBLANK(X215),"","&lt;/a&gt;")</f>
        <v/>
      </c>
      <c r="Z215" s="42">
        <f>IF(ISBLANK(X215),"",IF(OR(AB215="PASSED",ISBLANK(N215)),"&lt;/b&gt;","&lt;/i&gt;"))</f>
        <v/>
      </c>
      <c r="AA215" s="43">
        <f>IF(AB215="PASSED","&lt;b&gt;","")</f>
        <v/>
      </c>
      <c r="AB215" s="45" t="inlineStr">
        <is>
          <t>INTRODUCED</t>
        </is>
      </c>
      <c r="AC215" s="43">
        <f>IF(AB215="PASSED","&lt;/b&gt;","")</f>
        <v/>
      </c>
      <c r="AD215" s="43">
        <f>IF(ISBLANK(AE215),"","&lt;b&gt;")</f>
        <v/>
      </c>
      <c r="AE215" s="51" t="inlineStr">
        <is>
          <t>02/13</t>
        </is>
      </c>
      <c r="AF215" s="42">
        <f>IF(ISBLANK(AE215),"",": ")</f>
        <v/>
      </c>
      <c r="AG215" s="42" t="inlineStr">
        <is>
          <t>FY27 reduction (-5%)</t>
        </is>
      </c>
      <c r="AH215" s="42">
        <f>IF(ISBLANK(AE215),"","&lt;/b&gt;")</f>
        <v/>
      </c>
      <c r="AI215" s="42" t="n"/>
      <c r="AJ215" s="42">
        <f>IF(ISBLANK(AI215),"","&lt;br&gt;"&amp;AI215)</f>
        <v/>
      </c>
      <c r="AK215" s="4" t="inlineStr">
        <is>
          <t>&lt;br&gt;</t>
        </is>
      </c>
      <c r="AL215" s="42" t="inlineStr">
        <is>
          <t>&lt;b&gt;&lt;i&gt;</t>
        </is>
      </c>
      <c r="AM215" s="42" t="inlineStr">
        <is>
          <t>Governor's 3% + JFAC's 2%</t>
        </is>
      </c>
      <c r="AN215" s="42">
        <f>IF(ISBLANK(AM215),"","&lt;/i&gt;")</f>
        <v/>
      </c>
      <c r="AO215" s="35">
        <f>IF(ISBLANK(AQ215),"","&lt;/b&gt;&lt;br&gt;&lt;br&gt;")</f>
        <v/>
      </c>
      <c r="AP215" s="42">
        <f>IF(ISBLANK(AQ215),"","&lt;b&gt;")</f>
        <v/>
      </c>
      <c r="AQ215" s="47" t="inlineStr">
        <is>
          <t xml:space="preserve">Agency Reduction Plan:&lt;br&gt;Additional </t>
        </is>
      </c>
      <c r="AR215" s="42" t="n">
        <v>2</v>
      </c>
      <c r="AS215" s="4">
        <f>IF(ISBLANK(AR215),""," %")</f>
        <v/>
      </c>
      <c r="AT215" s="4">
        <f t="array" ref="AT215">_xlfn.IFS(NOT(ISBLANK(AU215))," (pgs. ",NOT(ISBLANK(AS215))," (pg. ", ISBLANK(AS215), "")</f>
        <v/>
      </c>
      <c r="AU215" s="52" t="n">
        <v>96</v>
      </c>
      <c r="AV215" s="4">
        <f>IF(ISBLANK(AW215),"",", ")</f>
        <v/>
      </c>
      <c r="AW215" s="42" t="n"/>
      <c r="AX215" s="4">
        <f>IF(ISBLANK(AY215),"",",&lt;br&gt;")</f>
        <v/>
      </c>
      <c r="AY215" s="42" t="n"/>
      <c r="AZ215" s="49">
        <f>IF(ISBLANK(AU215),"",")&lt;/b&gt;")</f>
        <v/>
      </c>
      <c r="BA215" s="4">
        <f>IF(ISBLANK(BC215),"","&lt;br&gt;")</f>
        <v/>
      </c>
      <c r="BB215" s="42">
        <f t="array" ref="BB215">IF(ISBLANK(BC215),"",_xlfn.LET(
_xlpm.words,_xlfn.TEXTSPLIT(TRIM(BC215),"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15" s="50" t="inlineStr">
        <is>
          <t>Our emergency preparedness work will, nearly, if not completely, end due to lack of funding for staff travel and materials. This will result in a loss of personal mitigation and preparedness for people with disabilities/ their families in the event of a local disaster. A near or total loss of the program will also result in the need to amend the State Plan for Independent Living through the Administration on Community Living within HHS. We are statutorily required to provide education, outreach and technical assistance for the Idaho ABLE Savings Plan. However, statewide travel, particularly to frontier and rural communities, will be reduced.</t>
        </is>
      </c>
    </row>
    <row r="216">
      <c r="A216" s="20">
        <f>_xlfn.TEXTJOIN("", TRUE, F216:H216)</f>
        <v/>
      </c>
      <c r="B216" s="21">
        <f>_xlfn.TEXTJOIN("", TRUE, I216:S216)</f>
        <v/>
      </c>
      <c r="C216" s="21">
        <f>IF(ISBLANK(X216),"", _xlfn.TEXTJOIN("",TRUE,T216:Z216))</f>
        <v/>
      </c>
      <c r="D216" s="21">
        <f>IF(ISBLANK(AB216), "", _xlfn.TEXTJOIN("", TRUE, AA216:AC216))</f>
        <v/>
      </c>
      <c r="E216" s="22">
        <f>IF(AU216="NA", _xlfn.TEXTJOIN("", TRUE, AD216:AH216), _xlfn.TEXTJOIN("", TRUE, AD216:AJ216))</f>
        <v/>
      </c>
      <c r="F216" s="42">
        <f>IF(LEFT(G216,4)="FY26","&lt;b&gt;","&lt;i&gt;")</f>
        <v/>
      </c>
      <c r="G216" s="42" t="inlineStr">
        <is>
          <t>FY27 Maintenance</t>
        </is>
      </c>
      <c r="H216" s="42">
        <f>IF(LEFT(G216,4)="FY26","&lt;/b&gt;","&lt;/i&gt;")</f>
        <v/>
      </c>
      <c r="I216" s="43" t="inlineStr">
        <is>
          <t>&lt;i&gt;</t>
        </is>
      </c>
      <c r="J216" s="44" t="inlineStr">
        <is>
          <t>Judicial Branch</t>
        </is>
      </c>
      <c r="K216" s="44" t="inlineStr">
        <is>
          <t>&lt;/i&gt;</t>
        </is>
      </c>
      <c r="L216" s="42">
        <f>IF(ISBLANK(N216),"","&lt;br&gt;")</f>
        <v/>
      </c>
      <c r="M216" s="42">
        <f>IF(ISBLANK(R216),"&lt;b&gt;","&lt;i&gt;")</f>
        <v/>
      </c>
      <c r="N216" s="42" t="n"/>
      <c r="O216" s="42">
        <f>IF(ISBLANK(R216),"&lt;/b&gt;","&lt;/i&gt;")</f>
        <v/>
      </c>
      <c r="P216" s="4">
        <f>IF(ISBLANK(R216),"","&lt;br&gt;")</f>
        <v/>
      </c>
      <c r="Q216" s="42">
        <f>IF(ISBLANK(R216),"","&lt;b&gt;")</f>
        <v/>
      </c>
      <c r="R216" s="42" t="n"/>
      <c r="S216" s="42">
        <f>IF(ISBLANK(R216),"","&lt;/i&gt;")</f>
        <v/>
      </c>
      <c r="T216" s="43">
        <f>IF(ISBLANK(X216),"",IF(OR(AB216="PASSED",ISBLANK(N216)),"&lt;b&gt;","&lt;i&gt;"))</f>
        <v/>
      </c>
      <c r="U216" s="3">
        <f>IF(ISBLANK(V216),"","&lt;a href='")</f>
        <v/>
      </c>
      <c r="V216" s="39" t="inlineStr">
        <is>
          <t>https://legislature.idaho.gov/sessioninfo/2026/legislation/H0847/</t>
        </is>
      </c>
      <c r="W216" s="17">
        <f>IF(ISBLANK(V216),"","'&gt;")</f>
        <v/>
      </c>
      <c r="X216" s="12" t="inlineStr">
        <is>
          <t>House Bill 847</t>
        </is>
      </c>
      <c r="Y216" s="17">
        <f>IF(ISBLANK(X216),"","&lt;/a&gt;")</f>
        <v/>
      </c>
      <c r="Z216" s="42">
        <f>IF(ISBLANK(X216),"",IF(OR(AB216="PASSED",ISBLANK(N216)),"&lt;/b&gt;","&lt;/i&gt;"))</f>
        <v/>
      </c>
      <c r="AA216" s="43">
        <f>IF(AB216="PASSED","&lt;b&gt;","")</f>
        <v/>
      </c>
      <c r="AB216" s="45" t="inlineStr">
        <is>
          <t>INTRODUCED</t>
        </is>
      </c>
      <c r="AC216" s="43">
        <f>IF(AB216="PASSED","&lt;/b&gt;","")</f>
        <v/>
      </c>
      <c r="AD216" s="43">
        <f>IF(ISBLANK(AE216),"","&lt;b&gt;")</f>
        <v/>
      </c>
      <c r="AE216" s="51" t="inlineStr">
        <is>
          <t>02/13</t>
        </is>
      </c>
      <c r="AF216" s="42">
        <f>IF(ISBLANK(AE216),"",": ")</f>
        <v/>
      </c>
      <c r="AG216" s="42" t="inlineStr">
        <is>
          <t>FY27 maintenance (-5%)</t>
        </is>
      </c>
      <c r="AH216" s="42">
        <f>IF(ISBLANK(AE216),"","&lt;/b&gt;")</f>
        <v/>
      </c>
      <c r="AI216" s="42" t="n"/>
      <c r="AJ216" s="42">
        <f>IF(ISBLANK(AI216),"","&lt;br&gt;"&amp;AI216)</f>
        <v/>
      </c>
      <c r="AK216" s="4" t="inlineStr">
        <is>
          <t>&lt;br&gt;</t>
        </is>
      </c>
      <c r="AL216" s="42" t="inlineStr">
        <is>
          <t>&lt;b&gt;&lt;i&gt;</t>
        </is>
      </c>
      <c r="AM216" s="42" t="inlineStr">
        <is>
          <t>Governor's 3% + JFAC's 2%</t>
        </is>
      </c>
      <c r="AN216" s="42">
        <f>IF(ISBLANK(AM216),"","&lt;/i&gt;")</f>
        <v/>
      </c>
      <c r="AO216" s="35">
        <f>IF(ISBLANK(AQ216),"","&lt;/b&gt;&lt;br&gt;&lt;br&gt;")</f>
        <v/>
      </c>
      <c r="AP216" s="42">
        <f>IF(ISBLANK(AQ216),"","&lt;b&gt;")</f>
        <v/>
      </c>
      <c r="AQ216" s="42" t="n"/>
      <c r="AR216" s="4" t="n"/>
      <c r="AS216" s="4">
        <f>IF(ISBLANK(AR216),""," %")</f>
        <v/>
      </c>
      <c r="AT216" s="4">
        <f t="array" ref="AT216">_xlfn.IFS(NOT(ISBLANK(AU216))," (pgs. ",NOT(ISBLANK(AS216))," (pg. ", ISBLANK(AS216), "")</f>
        <v/>
      </c>
      <c r="AU216" s="42" t="n"/>
      <c r="AV216" s="4">
        <f>IF(ISBLANK(AW216),"",", ")</f>
        <v/>
      </c>
      <c r="AW216" s="42" t="n"/>
      <c r="AX216" s="4">
        <f>IF(ISBLANK(AY216),"",",&lt;br&gt;")</f>
        <v/>
      </c>
      <c r="AY216" s="42" t="n"/>
      <c r="AZ216" s="49">
        <f>IF(ISBLANK(AU216),"",")&lt;/b&gt;")</f>
        <v/>
      </c>
      <c r="BA216" s="4">
        <f>IF(ISBLANK(BC216),"","&lt;br&gt;")</f>
        <v/>
      </c>
      <c r="BB216" s="42">
        <f t="array" ref="BB216">IF(ISBLANK(BC216),"",_xlfn.LET(
_xlpm.words,_xlfn.TEXTSPLIT(TRIM(BC216),"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16" s="50" t="n"/>
    </row>
    <row r="217">
      <c r="A217" s="20">
        <f>_xlfn.TEXTJOIN("", TRUE, F217:H217)</f>
        <v/>
      </c>
      <c r="B217" s="21">
        <f>_xlfn.TEXTJOIN("", TRUE, I217:S217)</f>
        <v/>
      </c>
      <c r="C217" s="21">
        <f>IF(ISBLANK(X217),"", _xlfn.TEXTJOIN("",TRUE,T217:Z217))</f>
        <v/>
      </c>
      <c r="D217" s="21">
        <f>IF(ISBLANK(AB217), "", _xlfn.TEXTJOIN("", TRUE, AA217:AC217))</f>
        <v/>
      </c>
      <c r="E217" s="22">
        <f>IF(AU217="NA", _xlfn.TEXTJOIN("", TRUE, AD217:AH217), _xlfn.TEXTJOIN("", TRUE, AD217:AJ217))</f>
        <v/>
      </c>
      <c r="F217" s="42">
        <f>IF(LEFT(G217,4)="FY26","&lt;b&gt;","&lt;i&gt;")</f>
        <v/>
      </c>
      <c r="G217" s="42" t="inlineStr">
        <is>
          <t>FY27 Maintenance</t>
        </is>
      </c>
      <c r="H217" s="42">
        <f>IF(LEFT(G217,4)="FY26","&lt;/b&gt;","&lt;/i&gt;")</f>
        <v/>
      </c>
      <c r="I217" s="43" t="inlineStr">
        <is>
          <t>&lt;i&gt;</t>
        </is>
      </c>
      <c r="J217" s="42" t="inlineStr">
        <is>
          <t>Legislative Branch</t>
        </is>
      </c>
      <c r="K217" s="44" t="inlineStr">
        <is>
          <t>&lt;/i&gt;</t>
        </is>
      </c>
      <c r="L217" s="42">
        <f>IF(ISBLANK(N217),"","&lt;br&gt;")</f>
        <v/>
      </c>
      <c r="M217" s="42">
        <f>IF(ISBLANK(R217),"&lt;b&gt;","&lt;i&gt;")</f>
        <v/>
      </c>
      <c r="N217" s="42" t="n"/>
      <c r="O217" s="42">
        <f>IF(ISBLANK(R217),"&lt;/b&gt;","&lt;/i&gt;")</f>
        <v/>
      </c>
      <c r="P217" s="4">
        <f>IF(ISBLANK(R217),"","&lt;br&gt;")</f>
        <v/>
      </c>
      <c r="Q217" s="42">
        <f>IF(ISBLANK(R217),"","&lt;b&gt;")</f>
        <v/>
      </c>
      <c r="R217" s="42" t="n"/>
      <c r="S217" s="42">
        <f>IF(ISBLANK(R217),"","&lt;/i&gt;")</f>
        <v/>
      </c>
      <c r="T217" s="43">
        <f>IF(ISBLANK(X217),"",IF(OR(AB217="PASSED",ISBLANK(N217)),"&lt;b&gt;","&lt;i&gt;"))</f>
        <v/>
      </c>
      <c r="U217" s="3">
        <f>IF(ISBLANK(V217),"","&lt;a href='")</f>
        <v/>
      </c>
      <c r="V217" s="39" t="inlineStr">
        <is>
          <t>https://legislature.idaho.gov/sessioninfo/2026/legislation/H0848/</t>
        </is>
      </c>
      <c r="W217" s="17">
        <f>IF(ISBLANK(V217),"","'&gt;")</f>
        <v/>
      </c>
      <c r="X217" s="12" t="inlineStr">
        <is>
          <t>House Bill 848</t>
        </is>
      </c>
      <c r="Y217" s="17">
        <f>IF(ISBLANK(X217),"","&lt;/a&gt;")</f>
        <v/>
      </c>
      <c r="Z217" s="42">
        <f>IF(ISBLANK(X217),"",IF(OR(AB217="PASSED",ISBLANK(N217)),"&lt;/b&gt;","&lt;/i&gt;"))</f>
        <v/>
      </c>
      <c r="AA217" s="43">
        <f>IF(AB217="PASSED","&lt;b&gt;","")</f>
        <v/>
      </c>
      <c r="AB217" s="45" t="inlineStr">
        <is>
          <t>INTRODUCED</t>
        </is>
      </c>
      <c r="AC217" s="43">
        <f>IF(AB217="PASSED","&lt;/b&gt;","")</f>
        <v/>
      </c>
      <c r="AD217" s="43">
        <f>IF(ISBLANK(AE217),"","&lt;b&gt;")</f>
        <v/>
      </c>
      <c r="AE217" s="51" t="inlineStr">
        <is>
          <t>02/13</t>
        </is>
      </c>
      <c r="AF217" s="42">
        <f>IF(ISBLANK(AE217),"",": ")</f>
        <v/>
      </c>
      <c r="AG217" s="42" t="inlineStr">
        <is>
          <t>FY27 maintenance (-5%)</t>
        </is>
      </c>
      <c r="AH217" s="42">
        <f>IF(ISBLANK(AE217),"","&lt;/b&gt;")</f>
        <v/>
      </c>
      <c r="AI217" s="42" t="n"/>
      <c r="AJ217" s="42">
        <f>IF(ISBLANK(AI217),"","&lt;br&gt;"&amp;AI217)</f>
        <v/>
      </c>
      <c r="AK217" s="4" t="inlineStr">
        <is>
          <t>&lt;br&gt;</t>
        </is>
      </c>
      <c r="AL217" s="42" t="inlineStr">
        <is>
          <t>&lt;b&gt;&lt;i&gt;</t>
        </is>
      </c>
      <c r="AM217" s="42" t="inlineStr">
        <is>
          <t>Governor's 3% + JFAC's 2%</t>
        </is>
      </c>
      <c r="AN217" s="42">
        <f>IF(ISBLANK(AM217),"","&lt;/i&gt;")</f>
        <v/>
      </c>
      <c r="AO217" s="35">
        <f>IF(ISBLANK(AQ217),"","&lt;/b&gt;&lt;br&gt;&lt;br&gt;")</f>
        <v/>
      </c>
      <c r="AP217" s="42">
        <f>IF(ISBLANK(AQ217),"","&lt;b&gt;")</f>
        <v/>
      </c>
      <c r="AQ217" s="42" t="n"/>
      <c r="AR217" s="4" t="n"/>
      <c r="AS217" s="4">
        <f>IF(ISBLANK(AR217),""," %")</f>
        <v/>
      </c>
      <c r="AT217" s="4">
        <f t="array" ref="AT217">_xlfn.IFS(NOT(ISBLANK(AU217))," (pgs. ",NOT(ISBLANK(AS217))," (pg. ", ISBLANK(AS217), "")</f>
        <v/>
      </c>
      <c r="AU217" s="42" t="n"/>
      <c r="AV217" s="4">
        <f>IF(ISBLANK(AW217),"",", ")</f>
        <v/>
      </c>
      <c r="AW217" s="42" t="n"/>
      <c r="AX217" s="4">
        <f>IF(ISBLANK(AY217),"",",&lt;br&gt;")</f>
        <v/>
      </c>
      <c r="AY217" s="42" t="n"/>
      <c r="AZ217" s="49">
        <f>IF(ISBLANK(AU217),"",")&lt;/b&gt;")</f>
        <v/>
      </c>
      <c r="BA217" s="4">
        <f>IF(ISBLANK(BC217),"","&lt;br&gt;")</f>
        <v/>
      </c>
      <c r="BB217" s="42">
        <f t="array" ref="BB217">IF(ISBLANK(BC217),"",_xlfn.LET(
_xlpm.words,_xlfn.TEXTSPLIT(TRIM(BC217),"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17" s="50" t="n"/>
    </row>
    <row r="218">
      <c r="A218" s="20">
        <f>_xlfn.TEXTJOIN("", TRUE, F218:H218)</f>
        <v/>
      </c>
      <c r="B218" s="21">
        <f>_xlfn.TEXTJOIN("", TRUE, I218:S218)</f>
        <v/>
      </c>
      <c r="C218" s="21">
        <f>IF(ISBLANK(X218),"", _xlfn.TEXTJOIN("",TRUE,T218:Z218))</f>
        <v/>
      </c>
      <c r="D218" s="21">
        <f>IF(ISBLANK(AB218), "", _xlfn.TEXTJOIN("", TRUE, AA218:AC218))</f>
        <v/>
      </c>
      <c r="E218" s="22">
        <f>IF(AU218="NA", _xlfn.TEXTJOIN("", TRUE, AD218:AH218), _xlfn.TEXTJOIN("", TRUE, AD218:AJ218))</f>
        <v/>
      </c>
      <c r="F218" s="42">
        <f>IF(LEFT(G218,4)="FY26","&lt;b&gt;","&lt;i&gt;")</f>
        <v/>
      </c>
      <c r="G218" s="42" t="inlineStr">
        <is>
          <t>FY27 Maintenance</t>
        </is>
      </c>
      <c r="H218" s="42">
        <f>IF(LEFT(G218,4)="FY26","&lt;/b&gt;","&lt;/i&gt;")</f>
        <v/>
      </c>
      <c r="I218" s="43" t="inlineStr">
        <is>
          <t>&lt;i&gt;</t>
        </is>
      </c>
      <c r="J218" s="44" t="inlineStr">
        <is>
          <t>Natural Resources</t>
        </is>
      </c>
      <c r="K218" s="44" t="inlineStr">
        <is>
          <t>&lt;/i&gt;</t>
        </is>
      </c>
      <c r="L218" s="42">
        <f>IF(ISBLANK(N218),"","&lt;br&gt;")</f>
        <v/>
      </c>
      <c r="M218" s="42">
        <f>IF(ISBLANK(R218),"&lt;b&gt;","&lt;i&gt;")</f>
        <v/>
      </c>
      <c r="N218" s="42" t="n"/>
      <c r="O218" s="42">
        <f>IF(ISBLANK(R218),"&lt;/b&gt;","&lt;/i&gt;")</f>
        <v/>
      </c>
      <c r="P218" s="4">
        <f>IF(ISBLANK(R218),"","&lt;br&gt;")</f>
        <v/>
      </c>
      <c r="Q218" s="42">
        <f>IF(ISBLANK(R218),"","&lt;b&gt;")</f>
        <v/>
      </c>
      <c r="R218" s="42" t="n"/>
      <c r="S218" s="42">
        <f>IF(ISBLANK(R218),"","&lt;/i&gt;")</f>
        <v/>
      </c>
      <c r="T218" s="43">
        <f>IF(ISBLANK(X218),"",IF(OR(AB218="PASSED",ISBLANK(N218)),"&lt;b&gt;","&lt;i&gt;"))</f>
        <v/>
      </c>
      <c r="U218" s="3">
        <f>IF(ISBLANK(V218),"","&lt;a href='")</f>
        <v/>
      </c>
      <c r="V218" s="39" t="inlineStr">
        <is>
          <t>https://legislature.idaho.gov/sessioninfo/2026/legislation/S1363/</t>
        </is>
      </c>
      <c r="W218" s="17">
        <f>IF(ISBLANK(V218),"","'&gt;")</f>
        <v/>
      </c>
      <c r="X218" s="12" t="inlineStr">
        <is>
          <t>Senate Bill 1363</t>
        </is>
      </c>
      <c r="Y218" s="17">
        <f>IF(ISBLANK(X218),"","&lt;/a&gt;")</f>
        <v/>
      </c>
      <c r="Z218" s="42">
        <f>IF(ISBLANK(X218),"",IF(OR(AB218="PASSED",ISBLANK(N218)),"&lt;/b&gt;","&lt;/i&gt;"))</f>
        <v/>
      </c>
      <c r="AA218" s="43">
        <f>IF(AB218="PASSED","&lt;b&gt;","")</f>
        <v/>
      </c>
      <c r="AB218" s="45" t="inlineStr">
        <is>
          <t>INTRODUCED</t>
        </is>
      </c>
      <c r="AC218" s="43">
        <f>IF(AB218="PASSED","&lt;/b&gt;","")</f>
        <v/>
      </c>
      <c r="AD218" s="43">
        <f>IF(ISBLANK(AE218),"","&lt;b&gt;")</f>
        <v/>
      </c>
      <c r="AE218" s="51" t="inlineStr">
        <is>
          <t>02/13</t>
        </is>
      </c>
      <c r="AF218" s="42">
        <f>IF(ISBLANK(AE218),"",": ")</f>
        <v/>
      </c>
      <c r="AG218" s="42" t="inlineStr">
        <is>
          <t>FY27 maintenance (-5%)</t>
        </is>
      </c>
      <c r="AH218" s="42">
        <f>IF(ISBLANK(AE218),"","&lt;/b&gt;")</f>
        <v/>
      </c>
      <c r="AI218" s="42" t="n"/>
      <c r="AJ218" s="42">
        <f>IF(ISBLANK(AI218),"","&lt;br&gt;"&amp;AI218)</f>
        <v/>
      </c>
      <c r="AK218" s="4" t="inlineStr">
        <is>
          <t>&lt;br&gt;</t>
        </is>
      </c>
      <c r="AL218" s="42" t="inlineStr">
        <is>
          <t>&lt;b&gt;&lt;i&gt;</t>
        </is>
      </c>
      <c r="AM218" s="42" t="inlineStr">
        <is>
          <t>Governor's 3% + JFAC's 2%</t>
        </is>
      </c>
      <c r="AN218" s="42">
        <f>IF(ISBLANK(AM218),"","&lt;/i&gt;")</f>
        <v/>
      </c>
      <c r="AO218" s="35">
        <f>IF(ISBLANK(AQ218),"","&lt;/b&gt;&lt;br&gt;&lt;br&gt;")</f>
        <v/>
      </c>
      <c r="AP218" s="42">
        <f>IF(ISBLANK(AQ218),"","&lt;b&gt;")</f>
        <v/>
      </c>
      <c r="AQ218" s="42" t="n"/>
      <c r="AR218" s="4" t="n"/>
      <c r="AS218" s="4">
        <f>IF(ISBLANK(AR218),""," %")</f>
        <v/>
      </c>
      <c r="AT218" s="4">
        <f t="array" ref="AT218">_xlfn.IFS(NOT(ISBLANK(AU218))," (pgs. ",NOT(ISBLANK(AS218))," (pg. ", ISBLANK(AS218), "")</f>
        <v/>
      </c>
      <c r="AU218" s="42" t="n"/>
      <c r="AV218" s="4">
        <f>IF(ISBLANK(AW218),"",", ")</f>
        <v/>
      </c>
      <c r="AW218" s="42" t="n"/>
      <c r="AX218" s="4">
        <f>IF(ISBLANK(AY218),"",",&lt;br&gt;")</f>
        <v/>
      </c>
      <c r="AY218" s="42" t="n"/>
      <c r="AZ218" s="49">
        <f>IF(ISBLANK(AU218),"",")&lt;/b&gt;")</f>
        <v/>
      </c>
      <c r="BA218" s="4">
        <f>IF(ISBLANK(BC218),"","&lt;br&gt;")</f>
        <v/>
      </c>
      <c r="BB218" s="42">
        <f t="array" ref="BB218">IF(ISBLANK(BC218),"",_xlfn.LET(
_xlpm.words,_xlfn.TEXTSPLIT(TRIM(BC218),"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18" s="50" t="n"/>
    </row>
    <row r="219">
      <c r="A219" s="20">
        <f>_xlfn.TEXTJOIN("", TRUE, F219:H219)</f>
        <v/>
      </c>
      <c r="B219" s="21">
        <f>_xlfn.TEXTJOIN("", TRUE, I219:S219)</f>
        <v/>
      </c>
      <c r="C219" s="21">
        <f>IF(ISBLANK(X219),"", _xlfn.TEXTJOIN("",TRUE,T219:Z219))</f>
        <v/>
      </c>
      <c r="D219" s="21">
        <f>IF(ISBLANK(AB219), "", _xlfn.TEXTJOIN("", TRUE, AA219:AC219))</f>
        <v/>
      </c>
      <c r="E219" s="22">
        <f>IF(AU219="NA", _xlfn.TEXTJOIN("", TRUE, AD219:AH219), _xlfn.TEXTJOIN("", TRUE, AD219:AJ219))</f>
        <v/>
      </c>
      <c r="F219" s="42">
        <f>IF(LEFT(G219,4)="FY26","&lt;b&gt;","&lt;i&gt;")</f>
        <v/>
      </c>
      <c r="G219" s="42" t="inlineStr">
        <is>
          <t>FY27 Maintenance</t>
        </is>
      </c>
      <c r="H219" s="42">
        <f>IF(LEFT(G219,4)="FY26","&lt;/b&gt;","&lt;/i&gt;")</f>
        <v/>
      </c>
      <c r="I219" s="43" t="inlineStr">
        <is>
          <t>&lt;i&gt;</t>
        </is>
      </c>
      <c r="J219" s="44" t="inlineStr">
        <is>
          <t>Public Safety</t>
        </is>
      </c>
      <c r="K219" s="44" t="inlineStr">
        <is>
          <t>&lt;/i&gt;</t>
        </is>
      </c>
      <c r="L219" s="42">
        <f>IF(ISBLANK(N219),"","&lt;br&gt;")</f>
        <v/>
      </c>
      <c r="M219" s="42">
        <f>IF(ISBLANK(R219),"&lt;b&gt;","&lt;i&gt;")</f>
        <v/>
      </c>
      <c r="N219" s="42" t="n"/>
      <c r="O219" s="42">
        <f>IF(ISBLANK(R219),"&lt;/b&gt;","&lt;/i&gt;")</f>
        <v/>
      </c>
      <c r="P219" s="4">
        <f>IF(ISBLANK(R219),"","&lt;br&gt;")</f>
        <v/>
      </c>
      <c r="Q219" s="42">
        <f>IF(ISBLANK(R219),"","&lt;b&gt;")</f>
        <v/>
      </c>
      <c r="R219" s="42" t="n"/>
      <c r="S219" s="42">
        <f>IF(ISBLANK(R219),"","&lt;/i&gt;")</f>
        <v/>
      </c>
      <c r="T219" s="43">
        <f>IF(ISBLANK(X219),"",IF(OR(AB219="PASSED",ISBLANK(N219)),"&lt;b&gt;","&lt;i&gt;"))</f>
        <v/>
      </c>
      <c r="U219" s="3">
        <f>IF(ISBLANK(V219),"","&lt;a href='")</f>
        <v/>
      </c>
      <c r="V219" s="39" t="inlineStr">
        <is>
          <t>https://legislature.idaho.gov/sessioninfo/2026/legislation/S1361/</t>
        </is>
      </c>
      <c r="W219" s="17">
        <f>IF(ISBLANK(V219),"","'&gt;")</f>
        <v/>
      </c>
      <c r="X219" s="12" t="inlineStr">
        <is>
          <t>Senate Bill 1361</t>
        </is>
      </c>
      <c r="Y219" s="17">
        <f>IF(ISBLANK(X219),"","&lt;/a&gt;")</f>
        <v/>
      </c>
      <c r="Z219" s="42">
        <f>IF(ISBLANK(X219),"",IF(OR(AB219="PASSED",ISBLANK(N219)),"&lt;/b&gt;","&lt;/i&gt;"))</f>
        <v/>
      </c>
      <c r="AA219" s="43">
        <f>IF(AB219="PASSED","&lt;b&gt;","")</f>
        <v/>
      </c>
      <c r="AB219" s="45" t="inlineStr">
        <is>
          <t>INTRODUCED</t>
        </is>
      </c>
      <c r="AC219" s="43">
        <f>IF(AB219="PASSED","&lt;/b&gt;","")</f>
        <v/>
      </c>
      <c r="AD219" s="43">
        <f>IF(ISBLANK(AE219),"","&lt;b&gt;")</f>
        <v/>
      </c>
      <c r="AE219" s="51" t="inlineStr">
        <is>
          <t>02/13</t>
        </is>
      </c>
      <c r="AF219" s="42">
        <f>IF(ISBLANK(AE219),"",": ")</f>
        <v/>
      </c>
      <c r="AG219" s="42" t="inlineStr">
        <is>
          <t>FY27 maintenance (-5%)</t>
        </is>
      </c>
      <c r="AH219" s="42">
        <f>IF(ISBLANK(AE219),"","&lt;/b&gt;")</f>
        <v/>
      </c>
      <c r="AI219" s="42" t="n"/>
      <c r="AJ219" s="42">
        <f>IF(ISBLANK(AI219),"","&lt;br&gt;"&amp;AI219)</f>
        <v/>
      </c>
      <c r="AK219" s="4" t="inlineStr">
        <is>
          <t>&lt;br&gt;</t>
        </is>
      </c>
      <c r="AL219" s="42" t="inlineStr">
        <is>
          <t>&lt;b&gt;&lt;i&gt;</t>
        </is>
      </c>
      <c r="AM219" s="42" t="inlineStr">
        <is>
          <t>Governor's 3% + JFAC's 2%&lt;br&gt;Idaho State Police &amp; Dept.&lt;br&gt;of Correction excluded &lt;br&gt;from additional reduction</t>
        </is>
      </c>
      <c r="AN219" s="42">
        <f>IF(ISBLANK(AM219),"","&lt;/i&gt;")</f>
        <v/>
      </c>
      <c r="AO219" s="35">
        <f>IF(ISBLANK(AQ219),"","&lt;/b&gt;&lt;br&gt;&lt;br&gt;")</f>
        <v/>
      </c>
      <c r="AP219" s="42">
        <f>IF(ISBLANK(AQ219),"","&lt;b&gt;")</f>
        <v/>
      </c>
      <c r="AQ219" s="42" t="n"/>
      <c r="AR219" s="4" t="n"/>
      <c r="AS219" s="4">
        <f>IF(ISBLANK(AR219),""," %")</f>
        <v/>
      </c>
      <c r="AT219" s="4">
        <f t="array" ref="AT219">_xlfn.IFS(NOT(ISBLANK(AU219))," (pgs. ",NOT(ISBLANK(AS219))," (pg. ", ISBLANK(AS219), "")</f>
        <v/>
      </c>
      <c r="AU219" s="42" t="n"/>
      <c r="AV219" s="4">
        <f>IF(ISBLANK(AW219),"",", ")</f>
        <v/>
      </c>
      <c r="AW219" s="42" t="n"/>
      <c r="AX219" s="4">
        <f>IF(ISBLANK(AY219),"",",&lt;br&gt;")</f>
        <v/>
      </c>
      <c r="AY219" s="42" t="n"/>
      <c r="AZ219" s="49">
        <f>IF(ISBLANK(AU219),"",")&lt;/b&gt;")</f>
        <v/>
      </c>
      <c r="BA219" s="4">
        <f>IF(ISBLANK(BC219),"","&lt;br&gt;")</f>
        <v/>
      </c>
      <c r="BB219" s="42">
        <f t="array" ref="BB219">IF(ISBLANK(BC219),"",_xlfn.LET(
_xlpm.words,_xlfn.TEXTSPLIT(TRIM(BC219),"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19" s="50" t="n"/>
    </row>
    <row r="220">
      <c r="A220" s="20">
        <f>_xlfn.TEXTJOIN("", TRUE, F220:H220)</f>
        <v/>
      </c>
      <c r="B220" s="21">
        <f>_xlfn.TEXTJOIN("", TRUE, I220:S220)</f>
        <v/>
      </c>
      <c r="C220" s="21">
        <f>IF(ISBLANK(X220),"", _xlfn.TEXTJOIN("",TRUE,T220:Z220))</f>
        <v/>
      </c>
      <c r="D220" s="21">
        <f>IF(ISBLANK(AB220), "", _xlfn.TEXTJOIN("", TRUE, AA220:AC220))</f>
        <v/>
      </c>
      <c r="E220" s="22">
        <f>IF(AU220="NA", _xlfn.TEXTJOIN("", TRUE, AD220:AH220), _xlfn.TEXTJOIN("", TRUE, AD220:AJ220))</f>
        <v/>
      </c>
      <c r="F220" s="42">
        <f>IF(LEFT(G220,4)="FY26","&lt;b&gt;","&lt;i&gt;")</f>
        <v/>
      </c>
      <c r="G220" s="42" t="inlineStr">
        <is>
          <t>FY27 Maintenance</t>
        </is>
      </c>
      <c r="H220" s="42">
        <f>IF(LEFT(G220,4)="FY26","&lt;/b&gt;","&lt;/i&gt;")</f>
        <v/>
      </c>
      <c r="I220" s="43" t="inlineStr">
        <is>
          <t>&lt;i&gt;</t>
        </is>
      </c>
      <c r="J220" s="44" t="inlineStr">
        <is>
          <t>Public Schools</t>
        </is>
      </c>
      <c r="K220" s="44" t="inlineStr">
        <is>
          <t>&lt;/i&gt;</t>
        </is>
      </c>
      <c r="L220" s="42">
        <f>IF(ISBLANK(N220),"","&lt;br&gt;")</f>
        <v/>
      </c>
      <c r="M220" s="42">
        <f>IF(ISBLANK(R220),"&lt;b&gt;","&lt;i&gt;")</f>
        <v/>
      </c>
      <c r="N220" s="42" t="n"/>
      <c r="O220" s="42">
        <f>IF(ISBLANK(R220),"&lt;/b&gt;","&lt;/i&gt;")</f>
        <v/>
      </c>
      <c r="P220" s="4">
        <f>IF(ISBLANK(R220),"","&lt;br&gt;")</f>
        <v/>
      </c>
      <c r="Q220" s="42">
        <f>IF(ISBLANK(R220),"","&lt;b&gt;")</f>
        <v/>
      </c>
      <c r="R220" s="42" t="n"/>
      <c r="S220" s="42">
        <f>IF(ISBLANK(R220),"","&lt;/i&gt;")</f>
        <v/>
      </c>
      <c r="T220" s="43">
        <f>IF(ISBLANK(X220),"",IF(OR(AB220="PASSED",ISBLANK(N220)),"&lt;b&gt;","&lt;i&gt;"))</f>
        <v/>
      </c>
      <c r="U220" s="3">
        <f>IF(ISBLANK(V220),"","&lt;a href='")</f>
        <v/>
      </c>
      <c r="V220" s="39" t="inlineStr">
        <is>
          <t>https://legislature.idaho.gov/sessioninfo/2026/legislation/S1362/</t>
        </is>
      </c>
      <c r="W220" s="17">
        <f>IF(ISBLANK(V220),"","'&gt;")</f>
        <v/>
      </c>
      <c r="X220" s="12" t="inlineStr">
        <is>
          <t>Senate Bill 1362</t>
        </is>
      </c>
      <c r="Y220" s="17">
        <f>IF(ISBLANK(X220),"","&lt;/a&gt;")</f>
        <v/>
      </c>
      <c r="Z220" s="42">
        <f>IF(ISBLANK(X220),"",IF(OR(AB220="PASSED",ISBLANK(N220)),"&lt;/b&gt;","&lt;/i&gt;"))</f>
        <v/>
      </c>
      <c r="AA220" s="43">
        <f>IF(AB220="PASSED","&lt;b&gt;","")</f>
        <v/>
      </c>
      <c r="AB220" s="45" t="inlineStr">
        <is>
          <t>INTRODUCED</t>
        </is>
      </c>
      <c r="AC220" s="43">
        <f>IF(AB220="PASSED","&lt;/b&gt;","")</f>
        <v/>
      </c>
      <c r="AD220" s="43">
        <f>IF(ISBLANK(AE220),"","&lt;b&gt;")</f>
        <v/>
      </c>
      <c r="AE220" s="51" t="inlineStr">
        <is>
          <t>02/13</t>
        </is>
      </c>
      <c r="AF220" s="42">
        <f>IF(ISBLANK(AE220),"",": ")</f>
        <v/>
      </c>
      <c r="AG220" s="42" t="inlineStr">
        <is>
          <t>FY27 maintenance (-5%)</t>
        </is>
      </c>
      <c r="AH220" s="42">
        <f>IF(ISBLANK(AE220),"","&lt;/b&gt;")</f>
        <v/>
      </c>
      <c r="AI220" s="42" t="n"/>
      <c r="AJ220" s="42">
        <f>IF(ISBLANK(AI220),"","&lt;br&gt;"&amp;AI220)</f>
        <v/>
      </c>
      <c r="AK220" s="4" t="inlineStr">
        <is>
          <t>&lt;br&gt;</t>
        </is>
      </c>
      <c r="AL220" s="42" t="inlineStr">
        <is>
          <t>&lt;b&gt;&lt;i&gt;</t>
        </is>
      </c>
      <c r="AM220" s="42" t="inlineStr">
        <is>
          <t>public schools excluded &lt;br&gt;from holdback/reduction</t>
        </is>
      </c>
      <c r="AN220" s="42">
        <f>IF(ISBLANK(AM220),"","&lt;/i&gt;")</f>
        <v/>
      </c>
      <c r="AO220" s="35">
        <f>IF(ISBLANK(AQ220),"","&lt;/b&gt;&lt;br&gt;&lt;br&gt;")</f>
        <v/>
      </c>
      <c r="AP220" s="42">
        <f>IF(ISBLANK(AQ220),"","&lt;b&gt;")</f>
        <v/>
      </c>
      <c r="AQ220" s="42" t="n"/>
      <c r="AR220" s="4" t="n"/>
      <c r="AS220" s="4">
        <f>IF(ISBLANK(AR220),""," %")</f>
        <v/>
      </c>
      <c r="AT220" s="4">
        <f t="array" ref="AT220">_xlfn.IFS(NOT(ISBLANK(AU220))," (pgs. ",NOT(ISBLANK(AS220))," (pg. ", ISBLANK(AS220), "")</f>
        <v/>
      </c>
      <c r="AU220" s="42" t="n"/>
      <c r="AV220" s="4">
        <f>IF(ISBLANK(AW220),"",", ")</f>
        <v/>
      </c>
      <c r="AW220" s="42" t="n"/>
      <c r="AX220" s="4">
        <f>IF(ISBLANK(AY220),"",",&lt;br&gt;")</f>
        <v/>
      </c>
      <c r="AY220" s="42" t="n"/>
      <c r="AZ220" s="49">
        <f>IF(ISBLANK(AU220),"",")&lt;/b&gt;")</f>
        <v/>
      </c>
      <c r="BA220" s="4">
        <f>IF(ISBLANK(BC220),"","&lt;br&gt;")</f>
        <v/>
      </c>
      <c r="BB220" s="42">
        <f t="array" ref="BB220">IF(ISBLANK(BC220),"",_xlfn.LET(
_xlpm.words,_xlfn.TEXTSPLIT(TRIM(BC220),"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20" s="50" t="n"/>
    </row>
    <row r="221">
      <c r="A221" s="20">
        <f>_xlfn.TEXTJOIN("", TRUE, F221:H221)</f>
        <v/>
      </c>
      <c r="B221" s="21">
        <f>_xlfn.TEXTJOIN("", TRUE, I221:S221)</f>
        <v/>
      </c>
      <c r="C221" s="21">
        <f>IF(ISBLANK(X221),"", _xlfn.TEXTJOIN("",TRUE,T221:Z221))</f>
        <v/>
      </c>
      <c r="D221" s="21">
        <f>IF(ISBLANK(AB221), "", _xlfn.TEXTJOIN("", TRUE, AA221:AC221))</f>
        <v/>
      </c>
      <c r="E221" s="22">
        <f>IF(AU221="NA", _xlfn.TEXTJOIN("", TRUE, AD221:AH221), _xlfn.TEXTJOIN("", TRUE, AD221:AJ221))</f>
        <v/>
      </c>
      <c r="F221" s="42">
        <f>IF(LEFT(G221,4)="FY26","&lt;b&gt;","&lt;i&gt;")</f>
        <v/>
      </c>
      <c r="G221" s="42" t="inlineStr">
        <is>
          <t>FY27 Maintenance</t>
        </is>
      </c>
      <c r="H221" s="42">
        <f>IF(LEFT(G221,4)="FY26","&lt;/b&gt;","&lt;/i&gt;")</f>
        <v/>
      </c>
      <c r="I221" s="43" t="inlineStr">
        <is>
          <t>&lt;i&gt;</t>
        </is>
      </c>
      <c r="J221" s="44" t="inlineStr">
        <is>
          <t>Public Schools</t>
        </is>
      </c>
      <c r="K221" s="44" t="inlineStr">
        <is>
          <t>&lt;/i&gt;</t>
        </is>
      </c>
      <c r="L221" s="4">
        <f>IF(ISBLANK(N221),"","&lt;br&gt;")</f>
        <v/>
      </c>
      <c r="M221" s="42">
        <f>IF(ISBLANK(R221),"&lt;b&gt;","&lt;i&gt;")</f>
        <v/>
      </c>
      <c r="N221" s="42" t="inlineStr">
        <is>
          <t>Administrators</t>
        </is>
      </c>
      <c r="O221" s="42">
        <f>IF(ISBLANK(R221),"&lt;/b&gt;","&lt;/i&gt;")</f>
        <v/>
      </c>
      <c r="P221" s="4">
        <f>IF(ISBLANK(R221),"","&lt;br&gt;")</f>
        <v/>
      </c>
      <c r="Q221" s="42">
        <f>IF(ISBLANK(R221),"","&lt;b&gt;")</f>
        <v/>
      </c>
      <c r="R221" s="42" t="n"/>
      <c r="S221" s="42">
        <f>IF(ISBLANK(R221),"","&lt;/i&gt;")</f>
        <v/>
      </c>
      <c r="T221" s="43">
        <f>IF(ISBLANK(X221),"",IF(OR(AB221="PASSED",ISBLANK(N221)),"&lt;b&gt;","&lt;i&gt;"))</f>
        <v/>
      </c>
      <c r="U221" s="3">
        <f>IF(ISBLANK(V221),"","&lt;a href='")</f>
        <v/>
      </c>
      <c r="V221" s="39" t="inlineStr">
        <is>
          <t>https://legislature.idaho.gov/sessioninfo/2026/legislation/S1362/</t>
        </is>
      </c>
      <c r="W221" s="17">
        <f>IF(ISBLANK(V221),"","'&gt;")</f>
        <v/>
      </c>
      <c r="X221" s="12" t="inlineStr">
        <is>
          <t>Senate Bill 1362</t>
        </is>
      </c>
      <c r="Y221" s="17">
        <f>IF(ISBLANK(X221),"","&lt;/a&gt;")</f>
        <v/>
      </c>
      <c r="Z221" s="42">
        <f>IF(ISBLANK(X221),"",IF(OR(AB221="PASSED",ISBLANK(N221)),"&lt;/b&gt;","&lt;/i&gt;"))</f>
        <v/>
      </c>
      <c r="AA221" s="43">
        <f>IF(AB221="PASSED","&lt;b&gt;","")</f>
        <v/>
      </c>
      <c r="AB221" s="45" t="inlineStr">
        <is>
          <t>INTRODUCED</t>
        </is>
      </c>
      <c r="AC221" s="43">
        <f>IF(AB221="PASSED","&lt;/b&gt;","")</f>
        <v/>
      </c>
      <c r="AD221" s="43">
        <f>IF(ISBLANK(AE221),"","&lt;b&gt;")</f>
        <v/>
      </c>
      <c r="AE221" s="51" t="inlineStr">
        <is>
          <t>02/13</t>
        </is>
      </c>
      <c r="AF221" s="42">
        <f>IF(ISBLANK(AE221),"",": ")</f>
        <v/>
      </c>
      <c r="AG221" s="42" t="inlineStr">
        <is>
          <t>FY27 reduction (-5%)</t>
        </is>
      </c>
      <c r="AH221" s="42">
        <f>IF(ISBLANK(AE221),"","&lt;/b&gt;")</f>
        <v/>
      </c>
      <c r="AI221" s="42" t="n"/>
      <c r="AJ221" s="42">
        <f>IF(ISBLANK(AI221),"","&lt;br&gt;"&amp;AI221)</f>
        <v/>
      </c>
      <c r="AK221" s="4" t="inlineStr">
        <is>
          <t>&lt;br&gt;</t>
        </is>
      </c>
      <c r="AL221" s="42" t="inlineStr">
        <is>
          <t>&lt;b&gt;&lt;i&gt;</t>
        </is>
      </c>
      <c r="AM221" s="42" t="inlineStr">
        <is>
          <t>public schools excluded &lt;br&gt;from holdback/reduction</t>
        </is>
      </c>
      <c r="AN221" s="42">
        <f>IF(ISBLANK(AM221),"","&lt;/i&gt;")</f>
        <v/>
      </c>
      <c r="AO221" s="35">
        <f>IF(ISBLANK(AQ221),"","&lt;/b&gt;&lt;br&gt;&lt;br&gt;")</f>
        <v/>
      </c>
      <c r="AP221" s="42">
        <f>IF(ISBLANK(AQ221),"","&lt;b&gt;")</f>
        <v/>
      </c>
      <c r="AQ221" s="47" t="inlineStr">
        <is>
          <t xml:space="preserve">Agency Reduction Plan:&lt;br&gt;Additional </t>
        </is>
      </c>
      <c r="AR221" s="42" t="n">
        <v>2</v>
      </c>
      <c r="AS221" s="4">
        <f>IF(ISBLANK(AR221),""," %")</f>
        <v/>
      </c>
      <c r="AT221" s="4">
        <f t="array" ref="AT221">_xlfn.IFS(NOT(ISBLANK(AU221))," (pgs. ",NOT(ISBLANK(AS221))," (pg. ", ISBLANK(AS221), "")</f>
        <v/>
      </c>
      <c r="AU221" s="52" t="n">
        <v>1</v>
      </c>
      <c r="AV221" s="4">
        <f>IF(ISBLANK(AW221),"",", ")</f>
        <v/>
      </c>
      <c r="AW221" s="42" t="n"/>
      <c r="AX221" s="4">
        <f>IF(ISBLANK(AY221),"",",&lt;br&gt;")</f>
        <v/>
      </c>
      <c r="AY221" s="42" t="n"/>
      <c r="AZ221" s="49">
        <f>IF(ISBLANK(AU221),"",")&lt;/b&gt;")</f>
        <v/>
      </c>
      <c r="BA221" s="4">
        <f>IF(ISBLANK(BC221),"","&lt;br&gt;")</f>
        <v/>
      </c>
      <c r="BB221" s="42">
        <f t="array" ref="BB221">IF(ISBLANK(BC221),"",_xlfn.LET(
_xlpm.words,_xlfn.TEXTSPLIT(TRIM(BC221),"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21" s="50" t="inlineStr">
        <is>
          <t>I will not be recommending further cuts to the public schools budget for FY 2026 or FY 2027. The public schools budget is more than numbers on a spreadsheet. It represents every one of our students, classrooms, teachers and communities.</t>
        </is>
      </c>
    </row>
    <row r="222">
      <c r="A222" s="20">
        <f>_xlfn.TEXTJOIN("", TRUE, F222:H222)</f>
        <v/>
      </c>
      <c r="B222" s="21">
        <f>_xlfn.TEXTJOIN("", TRUE, I222:S222)</f>
        <v/>
      </c>
      <c r="C222" s="21">
        <f>IF(ISBLANK(X222),"", _xlfn.TEXTJOIN("",TRUE,T222:Z222))</f>
        <v/>
      </c>
      <c r="D222" s="21">
        <f>IF(ISBLANK(AB222), "", _xlfn.TEXTJOIN("", TRUE, AA222:AC222))</f>
        <v/>
      </c>
      <c r="E222" s="22">
        <f>IF(AU222="NA", _xlfn.TEXTJOIN("", TRUE, AD222:AH222), _xlfn.TEXTJOIN("", TRUE, AD222:AJ222))</f>
        <v/>
      </c>
      <c r="F222" s="42">
        <f>IF(LEFT(G222,4)="FY26","&lt;b&gt;","&lt;i&gt;")</f>
        <v/>
      </c>
      <c r="G222" s="42" t="inlineStr">
        <is>
          <t>FY27 Maintenance</t>
        </is>
      </c>
      <c r="H222" s="42">
        <f>IF(LEFT(G222,4)="FY26","&lt;/b&gt;","&lt;/i&gt;")</f>
        <v/>
      </c>
      <c r="I222" s="43" t="inlineStr">
        <is>
          <t>&lt;i&gt;</t>
        </is>
      </c>
      <c r="J222" s="44" t="inlineStr">
        <is>
          <t>Public Schools</t>
        </is>
      </c>
      <c r="K222" s="44" t="inlineStr">
        <is>
          <t>&lt;/i&gt;</t>
        </is>
      </c>
      <c r="L222" s="4">
        <f>IF(ISBLANK(N222),"","&lt;br&gt;")</f>
        <v/>
      </c>
      <c r="M222" s="42">
        <f>IF(ISBLANK(R222),"&lt;b&gt;","&lt;i&gt;")</f>
        <v/>
      </c>
      <c r="N222" s="42" t="inlineStr">
        <is>
          <t>Central Services</t>
        </is>
      </c>
      <c r="O222" s="42">
        <f>IF(ISBLANK(R222),"&lt;/b&gt;","&lt;/i&gt;")</f>
        <v/>
      </c>
      <c r="P222" s="4">
        <f>IF(ISBLANK(R222),"","&lt;br&gt;")</f>
        <v/>
      </c>
      <c r="Q222" s="42">
        <f>IF(ISBLANK(R222),"","&lt;b&gt;")</f>
        <v/>
      </c>
      <c r="R222" s="42" t="n"/>
      <c r="S222" s="42">
        <f>IF(ISBLANK(R222),"","&lt;/i&gt;")</f>
        <v/>
      </c>
      <c r="T222" s="43">
        <f>IF(ISBLANK(X222),"",IF(OR(AB222="PASSED",ISBLANK(N222)),"&lt;b&gt;","&lt;i&gt;"))</f>
        <v/>
      </c>
      <c r="U222" s="3">
        <f>IF(ISBLANK(V222),"","&lt;a href='")</f>
        <v/>
      </c>
      <c r="V222" s="39" t="inlineStr">
        <is>
          <t>https://legislature.idaho.gov/sessioninfo/2026/legislation/S1362/</t>
        </is>
      </c>
      <c r="W222" s="17">
        <f>IF(ISBLANK(V222),"","'&gt;")</f>
        <v/>
      </c>
      <c r="X222" s="12" t="inlineStr">
        <is>
          <t>Senate Bill 1362</t>
        </is>
      </c>
      <c r="Y222" s="17">
        <f>IF(ISBLANK(X222),"","&lt;/a&gt;")</f>
        <v/>
      </c>
      <c r="Z222" s="42">
        <f>IF(ISBLANK(X222),"",IF(OR(AB222="PASSED",ISBLANK(N222)),"&lt;/b&gt;","&lt;/i&gt;"))</f>
        <v/>
      </c>
      <c r="AA222" s="43">
        <f>IF(AB222="PASSED","&lt;b&gt;","")</f>
        <v/>
      </c>
      <c r="AB222" s="45" t="inlineStr">
        <is>
          <t>INTRODUCED</t>
        </is>
      </c>
      <c r="AC222" s="43">
        <f>IF(AB222="PASSED","&lt;/b&gt;","")</f>
        <v/>
      </c>
      <c r="AD222" s="43">
        <f>IF(ISBLANK(AE222),"","&lt;b&gt;")</f>
        <v/>
      </c>
      <c r="AE222" s="51" t="inlineStr">
        <is>
          <t>02/13</t>
        </is>
      </c>
      <c r="AF222" s="42">
        <f>IF(ISBLANK(AE222),"",": ")</f>
        <v/>
      </c>
      <c r="AG222" s="42" t="inlineStr">
        <is>
          <t>FY27 reduction (-5%)</t>
        </is>
      </c>
      <c r="AH222" s="42">
        <f>IF(ISBLANK(AE222),"","&lt;/b&gt;")</f>
        <v/>
      </c>
      <c r="AI222" s="42" t="n"/>
      <c r="AJ222" s="42">
        <f>IF(ISBLANK(AI222),"","&lt;br&gt;"&amp;AI222)</f>
        <v/>
      </c>
      <c r="AK222" s="4" t="inlineStr">
        <is>
          <t>&lt;br&gt;</t>
        </is>
      </c>
      <c r="AL222" s="42" t="inlineStr">
        <is>
          <t>&lt;b&gt;&lt;i&gt;</t>
        </is>
      </c>
      <c r="AM222" s="42" t="inlineStr">
        <is>
          <t>public schools excluded &lt;br&gt;from holdback/reduction</t>
        </is>
      </c>
      <c r="AN222" s="42">
        <f>IF(ISBLANK(AM222),"","&lt;/i&gt;")</f>
        <v/>
      </c>
      <c r="AO222" s="35">
        <f>IF(ISBLANK(AQ222),"","&lt;/b&gt;&lt;br&gt;&lt;br&gt;")</f>
        <v/>
      </c>
      <c r="AP222" s="42">
        <f>IF(ISBLANK(AQ222),"","&lt;b&gt;")</f>
        <v/>
      </c>
      <c r="AQ222" s="47" t="inlineStr">
        <is>
          <t xml:space="preserve">Agency Reduction Plan:&lt;br&gt;Additional </t>
        </is>
      </c>
      <c r="AR222" s="42" t="n">
        <v>2</v>
      </c>
      <c r="AS222" s="4">
        <f>IF(ISBLANK(AR222),""," %")</f>
        <v/>
      </c>
      <c r="AT222" s="4">
        <f t="array" ref="AT222">_xlfn.IFS(NOT(ISBLANK(AU222))," (pgs. ",NOT(ISBLANK(AS222))," (pg. ", ISBLANK(AS222), "")</f>
        <v/>
      </c>
      <c r="AU222" s="52" t="n">
        <v>1</v>
      </c>
      <c r="AV222" s="4">
        <f>IF(ISBLANK(AW222),"",", ")</f>
        <v/>
      </c>
      <c r="AW222" s="42" t="n"/>
      <c r="AX222" s="4">
        <f>IF(ISBLANK(AY222),"",",&lt;br&gt;")</f>
        <v/>
      </c>
      <c r="AY222" s="42" t="n"/>
      <c r="AZ222" s="49">
        <f>IF(ISBLANK(AU222),"",")&lt;/b&gt;")</f>
        <v/>
      </c>
      <c r="BA222" s="4">
        <f>IF(ISBLANK(BC222),"","&lt;br&gt;")</f>
        <v/>
      </c>
      <c r="BB222" s="42">
        <f t="array" ref="BB222">IF(ISBLANK(BC222),"",_xlfn.LET(
_xlpm.words,_xlfn.TEXTSPLIT(TRIM(BC222),"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22" s="50" t="inlineStr">
        <is>
          <t>I will not be recommending further cuts to the public schools budget for FY 2026 or FY 2027. The public schools budget is more than numbers on a spreadsheet. It represents every one of our students, classrooms, teachers and communities.</t>
        </is>
      </c>
    </row>
    <row r="223">
      <c r="A223" s="20">
        <f>_xlfn.TEXTJOIN("", TRUE, F223:H223)</f>
        <v/>
      </c>
      <c r="B223" s="21">
        <f>_xlfn.TEXTJOIN("", TRUE, I223:S223)</f>
        <v/>
      </c>
      <c r="C223" s="21">
        <f>IF(ISBLANK(X223),"", _xlfn.TEXTJOIN("",TRUE,T223:Z223))</f>
        <v/>
      </c>
      <c r="D223" s="21">
        <f>IF(ISBLANK(AB223), "", _xlfn.TEXTJOIN("", TRUE, AA223:AC223))</f>
        <v/>
      </c>
      <c r="E223" s="22">
        <f>IF(AU223="NA", _xlfn.TEXTJOIN("", TRUE, AD223:AH223), _xlfn.TEXTJOIN("", TRUE, AD223:AJ223))</f>
        <v/>
      </c>
      <c r="F223" s="42">
        <f>IF(LEFT(G223,4)="FY26","&lt;b&gt;","&lt;i&gt;")</f>
        <v/>
      </c>
      <c r="G223" s="42" t="inlineStr">
        <is>
          <t>FY27 Maintenance</t>
        </is>
      </c>
      <c r="H223" s="42">
        <f>IF(LEFT(G223,4)="FY26","&lt;/b&gt;","&lt;/i&gt;")</f>
        <v/>
      </c>
      <c r="I223" s="43" t="inlineStr">
        <is>
          <t>&lt;i&gt;</t>
        </is>
      </c>
      <c r="J223" s="44" t="inlineStr">
        <is>
          <t>Public Schools</t>
        </is>
      </c>
      <c r="K223" s="44" t="inlineStr">
        <is>
          <t>&lt;/i&gt;</t>
        </is>
      </c>
      <c r="L223" s="4">
        <f>IF(ISBLANK(N223),"","&lt;br&gt;")</f>
        <v/>
      </c>
      <c r="M223" s="42">
        <f>IF(ISBLANK(R223),"&lt;b&gt;","&lt;i&gt;")</f>
        <v/>
      </c>
      <c r="N223" s="42" t="inlineStr">
        <is>
          <t>Children's Programs</t>
        </is>
      </c>
      <c r="O223" s="42">
        <f>IF(ISBLANK(R223),"&lt;/b&gt;","&lt;/i&gt;")</f>
        <v/>
      </c>
      <c r="P223" s="4">
        <f>IF(ISBLANK(R223),"","&lt;br&gt;")</f>
        <v/>
      </c>
      <c r="Q223" s="42">
        <f>IF(ISBLANK(R223),"","&lt;b&gt;")</f>
        <v/>
      </c>
      <c r="R223" s="42" t="n"/>
      <c r="S223" s="42">
        <f>IF(ISBLANK(R223),"","&lt;/i&gt;")</f>
        <v/>
      </c>
      <c r="T223" s="43">
        <f>IF(ISBLANK(X223),"",IF(OR(AB223="PASSED",ISBLANK(N223)),"&lt;b&gt;","&lt;i&gt;"))</f>
        <v/>
      </c>
      <c r="U223" s="3">
        <f>IF(ISBLANK(V223),"","&lt;a href='")</f>
        <v/>
      </c>
      <c r="V223" s="39" t="inlineStr">
        <is>
          <t>https://legislature.idaho.gov/sessioninfo/2026/legislation/S1362/</t>
        </is>
      </c>
      <c r="W223" s="17">
        <f>IF(ISBLANK(V223),"","'&gt;")</f>
        <v/>
      </c>
      <c r="X223" s="12" t="inlineStr">
        <is>
          <t>Senate Bill 1362</t>
        </is>
      </c>
      <c r="Y223" s="17">
        <f>IF(ISBLANK(X223),"","&lt;/a&gt;")</f>
        <v/>
      </c>
      <c r="Z223" s="42">
        <f>IF(ISBLANK(X223),"",IF(OR(AB223="PASSED",ISBLANK(N223)),"&lt;/b&gt;","&lt;/i&gt;"))</f>
        <v/>
      </c>
      <c r="AA223" s="43">
        <f>IF(AB223="PASSED","&lt;b&gt;","")</f>
        <v/>
      </c>
      <c r="AB223" s="45" t="inlineStr">
        <is>
          <t>INTRODUCED</t>
        </is>
      </c>
      <c r="AC223" s="43">
        <f>IF(AB223="PASSED","&lt;/b&gt;","")</f>
        <v/>
      </c>
      <c r="AD223" s="43">
        <f>IF(ISBLANK(AE223),"","&lt;b&gt;")</f>
        <v/>
      </c>
      <c r="AE223" s="51" t="inlineStr">
        <is>
          <t>02/13</t>
        </is>
      </c>
      <c r="AF223" s="42">
        <f>IF(ISBLANK(AE223),"",": ")</f>
        <v/>
      </c>
      <c r="AG223" s="42" t="inlineStr">
        <is>
          <t>FY27 reduction (-5%)</t>
        </is>
      </c>
      <c r="AH223" s="42">
        <f>IF(ISBLANK(AE223),"","&lt;/b&gt;")</f>
        <v/>
      </c>
      <c r="AI223" s="42" t="n"/>
      <c r="AJ223" s="42">
        <f>IF(ISBLANK(AI223),"","&lt;br&gt;"&amp;AI223)</f>
        <v/>
      </c>
      <c r="AK223" s="4" t="inlineStr">
        <is>
          <t>&lt;br&gt;</t>
        </is>
      </c>
      <c r="AL223" s="42" t="inlineStr">
        <is>
          <t>&lt;b&gt;&lt;i&gt;</t>
        </is>
      </c>
      <c r="AM223" s="42" t="inlineStr">
        <is>
          <t>public schools excluded &lt;br&gt;from holdback/reduction</t>
        </is>
      </c>
      <c r="AN223" s="42">
        <f>IF(ISBLANK(AM223),"","&lt;/i&gt;")</f>
        <v/>
      </c>
      <c r="AO223" s="35">
        <f>IF(ISBLANK(AQ223),"","&lt;/b&gt;&lt;br&gt;&lt;br&gt;")</f>
        <v/>
      </c>
      <c r="AP223" s="42">
        <f>IF(ISBLANK(AQ223),"","&lt;b&gt;")</f>
        <v/>
      </c>
      <c r="AQ223" s="47" t="inlineStr">
        <is>
          <t xml:space="preserve">Agency Reduction Plan:&lt;br&gt;Additional </t>
        </is>
      </c>
      <c r="AR223" s="42" t="n">
        <v>2</v>
      </c>
      <c r="AS223" s="4">
        <f>IF(ISBLANK(AR223),""," %")</f>
        <v/>
      </c>
      <c r="AT223" s="4">
        <f t="array" ref="AT223">_xlfn.IFS(NOT(ISBLANK(AU223))," (pgs. ",NOT(ISBLANK(AS223))," (pg. ", ISBLANK(AS223), "")</f>
        <v/>
      </c>
      <c r="AU223" s="52" t="n">
        <v>1</v>
      </c>
      <c r="AV223" s="4">
        <f>IF(ISBLANK(AW223),"",", ")</f>
        <v/>
      </c>
      <c r="AW223" s="42" t="n"/>
      <c r="AX223" s="4">
        <f>IF(ISBLANK(AY223),"",",&lt;br&gt;")</f>
        <v/>
      </c>
      <c r="AY223" s="42" t="n"/>
      <c r="AZ223" s="49">
        <f>IF(ISBLANK(AU223),"",")&lt;/b&gt;")</f>
        <v/>
      </c>
      <c r="BA223" s="4">
        <f>IF(ISBLANK(BC223),"","&lt;br&gt;")</f>
        <v/>
      </c>
      <c r="BB223" s="42">
        <f t="array" ref="BB223">IF(ISBLANK(BC223),"",_xlfn.LET(
_xlpm.words,_xlfn.TEXTSPLIT(TRIM(BC223),"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23" s="50" t="inlineStr">
        <is>
          <t>I will not be recommending further cuts to the public schools budget for FY 2026 or FY 2027. The public schools budget is more than numbers on a spreadsheet. It represents every one of our students, classrooms, teachers and communities.</t>
        </is>
      </c>
    </row>
    <row r="224">
      <c r="A224" s="20">
        <f>_xlfn.TEXTJOIN("", TRUE, F224:H224)</f>
        <v/>
      </c>
      <c r="B224" s="21">
        <f>_xlfn.TEXTJOIN("", TRUE, I224:S224)</f>
        <v/>
      </c>
      <c r="C224" s="21">
        <f>IF(ISBLANK(X224),"", _xlfn.TEXTJOIN("",TRUE,T224:Z224))</f>
        <v/>
      </c>
      <c r="D224" s="21">
        <f>IF(ISBLANK(AB224), "", _xlfn.TEXTJOIN("", TRUE, AA224:AC224))</f>
        <v/>
      </c>
      <c r="E224" s="22">
        <f>IF(AU224="NA", _xlfn.TEXTJOIN("", TRUE, AD224:AH224), _xlfn.TEXTJOIN("", TRUE, AD224:AJ224))</f>
        <v/>
      </c>
      <c r="F224" s="42">
        <f>IF(LEFT(G224,4)="FY26","&lt;b&gt;","&lt;i&gt;")</f>
        <v/>
      </c>
      <c r="G224" s="42" t="inlineStr">
        <is>
          <t>FY27 Maintenance</t>
        </is>
      </c>
      <c r="H224" s="42">
        <f>IF(LEFT(G224,4)="FY26","&lt;/b&gt;","&lt;/i&gt;")</f>
        <v/>
      </c>
      <c r="I224" s="43" t="inlineStr">
        <is>
          <t>&lt;i&gt;</t>
        </is>
      </c>
      <c r="J224" s="44" t="inlineStr">
        <is>
          <t>Public Schools</t>
        </is>
      </c>
      <c r="K224" s="44" t="inlineStr">
        <is>
          <t>&lt;/i&gt;</t>
        </is>
      </c>
      <c r="L224" s="4">
        <f>IF(ISBLANK(N224),"","&lt;br&gt;")</f>
        <v/>
      </c>
      <c r="M224" s="42">
        <f>IF(ISBLANK(R224),"&lt;b&gt;","&lt;i&gt;")</f>
        <v/>
      </c>
      <c r="N224" s="42" t="inlineStr">
        <is>
          <t>Facilities</t>
        </is>
      </c>
      <c r="O224" s="42">
        <f>IF(ISBLANK(R224),"&lt;/b&gt;","&lt;/i&gt;")</f>
        <v/>
      </c>
      <c r="P224" s="4">
        <f>IF(ISBLANK(R224),"","&lt;br&gt;")</f>
        <v/>
      </c>
      <c r="Q224" s="42">
        <f>IF(ISBLANK(R224),"","&lt;b&gt;")</f>
        <v/>
      </c>
      <c r="R224" s="42" t="n"/>
      <c r="S224" s="42">
        <f>IF(ISBLANK(R224),"","&lt;/i&gt;")</f>
        <v/>
      </c>
      <c r="T224" s="43">
        <f>IF(ISBLANK(X224),"",IF(OR(AB224="PASSED",ISBLANK(N224)),"&lt;b&gt;","&lt;i&gt;"))</f>
        <v/>
      </c>
      <c r="U224" s="3">
        <f>IF(ISBLANK(V224),"","&lt;a href='")</f>
        <v/>
      </c>
      <c r="V224" s="39" t="inlineStr">
        <is>
          <t>https://legislature.idaho.gov/sessioninfo/2026/legislation/S1362/</t>
        </is>
      </c>
      <c r="W224" s="17">
        <f>IF(ISBLANK(V224),"","'&gt;")</f>
        <v/>
      </c>
      <c r="X224" s="12" t="inlineStr">
        <is>
          <t>Senate Bill 1362</t>
        </is>
      </c>
      <c r="Y224" s="17">
        <f>IF(ISBLANK(X224),"","&lt;/a&gt;")</f>
        <v/>
      </c>
      <c r="Z224" s="42">
        <f>IF(ISBLANK(X224),"",IF(OR(AB224="PASSED",ISBLANK(N224)),"&lt;/b&gt;","&lt;/i&gt;"))</f>
        <v/>
      </c>
      <c r="AA224" s="43">
        <f>IF(AB224="PASSED","&lt;b&gt;","")</f>
        <v/>
      </c>
      <c r="AB224" s="45" t="inlineStr">
        <is>
          <t>INTRODUCED</t>
        </is>
      </c>
      <c r="AC224" s="43">
        <f>IF(AB224="PASSED","&lt;/b&gt;","")</f>
        <v/>
      </c>
      <c r="AD224" s="43">
        <f>IF(ISBLANK(AE224),"","&lt;b&gt;")</f>
        <v/>
      </c>
      <c r="AE224" s="51" t="inlineStr">
        <is>
          <t>02/13</t>
        </is>
      </c>
      <c r="AF224" s="42">
        <f>IF(ISBLANK(AE224),"",": ")</f>
        <v/>
      </c>
      <c r="AG224" s="42" t="inlineStr">
        <is>
          <t>FY27 reduction (-5%)</t>
        </is>
      </c>
      <c r="AH224" s="42">
        <f>IF(ISBLANK(AE224),"","&lt;/b&gt;")</f>
        <v/>
      </c>
      <c r="AI224" s="42" t="n"/>
      <c r="AJ224" s="42">
        <f>IF(ISBLANK(AI224),"","&lt;br&gt;"&amp;AI224)</f>
        <v/>
      </c>
      <c r="AK224" s="4" t="inlineStr">
        <is>
          <t>&lt;br&gt;</t>
        </is>
      </c>
      <c r="AL224" s="42" t="inlineStr">
        <is>
          <t>&lt;b&gt;&lt;i&gt;</t>
        </is>
      </c>
      <c r="AM224" s="42" t="inlineStr">
        <is>
          <t>public schools excluded &lt;br&gt;from holdback/reduction</t>
        </is>
      </c>
      <c r="AN224" s="42">
        <f>IF(ISBLANK(AM224),"","&lt;/i&gt;")</f>
        <v/>
      </c>
      <c r="AO224" s="35">
        <f>IF(ISBLANK(AQ224),"","&lt;/b&gt;&lt;br&gt;&lt;br&gt;")</f>
        <v/>
      </c>
      <c r="AP224" s="42">
        <f>IF(ISBLANK(AQ224),"","&lt;b&gt;")</f>
        <v/>
      </c>
      <c r="AQ224" s="47" t="inlineStr">
        <is>
          <t xml:space="preserve">Agency Reduction Plan:&lt;br&gt;Additional </t>
        </is>
      </c>
      <c r="AR224" s="42" t="n">
        <v>2</v>
      </c>
      <c r="AS224" s="4">
        <f>IF(ISBLANK(AR224),""," %")</f>
        <v/>
      </c>
      <c r="AT224" s="4">
        <f t="array" ref="AT224">_xlfn.IFS(NOT(ISBLANK(AU224))," (pgs. ",NOT(ISBLANK(AS224))," (pg. ", ISBLANK(AS224), "")</f>
        <v/>
      </c>
      <c r="AU224" s="52" t="n">
        <v>1</v>
      </c>
      <c r="AV224" s="4">
        <f>IF(ISBLANK(AW224),"",", ")</f>
        <v/>
      </c>
      <c r="AW224" s="42" t="n"/>
      <c r="AX224" s="4">
        <f>IF(ISBLANK(AY224),"",",&lt;br&gt;")</f>
        <v/>
      </c>
      <c r="AY224" s="42" t="n"/>
      <c r="AZ224" s="49">
        <f>IF(ISBLANK(AU224),"",")&lt;/b&gt;")</f>
        <v/>
      </c>
      <c r="BA224" s="4">
        <f>IF(ISBLANK(BC224),"","&lt;br&gt;")</f>
        <v/>
      </c>
      <c r="BB224" s="42">
        <f t="array" ref="BB224">IF(ISBLANK(BC224),"",_xlfn.LET(
_xlpm.words,_xlfn.TEXTSPLIT(TRIM(BC224),"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24" s="50" t="inlineStr">
        <is>
          <t>I will not be recommending further cuts to the public schools budget for FY 2026 or FY 2027. The public schools budget is more than numbers on a spreadsheet. It represents every one of our students, classrooms, teachers and communities.</t>
        </is>
      </c>
    </row>
    <row r="225">
      <c r="A225" s="20">
        <f>_xlfn.TEXTJOIN("", TRUE, F225:H225)</f>
        <v/>
      </c>
      <c r="B225" s="21">
        <f>_xlfn.TEXTJOIN("", TRUE, I225:S225)</f>
        <v/>
      </c>
      <c r="C225" s="21">
        <f>IF(ISBLANK(X225),"", _xlfn.TEXTJOIN("",TRUE,T225:Z225))</f>
        <v/>
      </c>
      <c r="D225" s="21">
        <f>IF(ISBLANK(AB225), "", _xlfn.TEXTJOIN("", TRUE, AA225:AC225))</f>
        <v/>
      </c>
      <c r="E225" s="22">
        <f>IF(AU225="NA", _xlfn.TEXTJOIN("", TRUE, AD225:AH225), _xlfn.TEXTJOIN("", TRUE, AD225:AJ225))</f>
        <v/>
      </c>
      <c r="F225" s="42">
        <f>IF(LEFT(G225,4)="FY26","&lt;b&gt;","&lt;i&gt;")</f>
        <v/>
      </c>
      <c r="G225" s="42" t="inlineStr">
        <is>
          <t>FY27 Maintenance</t>
        </is>
      </c>
      <c r="H225" s="42">
        <f>IF(LEFT(G225,4)="FY26","&lt;/b&gt;","&lt;/i&gt;")</f>
        <v/>
      </c>
      <c r="I225" s="43" t="inlineStr">
        <is>
          <t>&lt;i&gt;</t>
        </is>
      </c>
      <c r="J225" s="44" t="inlineStr">
        <is>
          <t>Public Schools</t>
        </is>
      </c>
      <c r="K225" s="44" t="inlineStr">
        <is>
          <t>&lt;/i&gt;</t>
        </is>
      </c>
      <c r="L225" s="4">
        <f>IF(ISBLANK(N225),"","&lt;br&gt;")</f>
        <v/>
      </c>
      <c r="M225" s="42">
        <f>IF(ISBLANK(R225),"&lt;b&gt;","&lt;i&gt;")</f>
        <v/>
      </c>
      <c r="N225" s="42" t="inlineStr">
        <is>
          <t>Idaho Digital Learning Academy</t>
        </is>
      </c>
      <c r="O225" s="42">
        <f>IF(ISBLANK(R225),"&lt;/b&gt;","&lt;/i&gt;")</f>
        <v/>
      </c>
      <c r="P225" s="4">
        <f>IF(ISBLANK(R225),"","&lt;br&gt;")</f>
        <v/>
      </c>
      <c r="Q225" s="42">
        <f>IF(ISBLANK(R225),"","&lt;b&gt;")</f>
        <v/>
      </c>
      <c r="R225" s="42" t="n"/>
      <c r="S225" s="42">
        <f>IF(ISBLANK(R225),"","&lt;/i&gt;")</f>
        <v/>
      </c>
      <c r="T225" s="43">
        <f>IF(ISBLANK(X225),"",IF(OR(AB225="PASSED",ISBLANK(N225)),"&lt;b&gt;","&lt;i&gt;"))</f>
        <v/>
      </c>
      <c r="U225" s="3">
        <f>IF(ISBLANK(V225),"","&lt;a href='")</f>
        <v/>
      </c>
      <c r="V225" s="39" t="inlineStr">
        <is>
          <t>https://legislature.idaho.gov/sessioninfo/2026/legislation/S1362/</t>
        </is>
      </c>
      <c r="W225" s="17">
        <f>IF(ISBLANK(V225),"","'&gt;")</f>
        <v/>
      </c>
      <c r="X225" s="12" t="inlineStr">
        <is>
          <t>Senate Bill 1362</t>
        </is>
      </c>
      <c r="Y225" s="17">
        <f>IF(ISBLANK(X225),"","&lt;/a&gt;")</f>
        <v/>
      </c>
      <c r="Z225" s="42">
        <f>IF(ISBLANK(X225),"",IF(OR(AB225="PASSED",ISBLANK(N225)),"&lt;/b&gt;","&lt;/i&gt;"))</f>
        <v/>
      </c>
      <c r="AA225" s="43">
        <f>IF(AB225="PASSED","&lt;b&gt;","")</f>
        <v/>
      </c>
      <c r="AB225" s="45" t="inlineStr">
        <is>
          <t>INTRODUCED</t>
        </is>
      </c>
      <c r="AC225" s="43">
        <f>IF(AB225="PASSED","&lt;/b&gt;","")</f>
        <v/>
      </c>
      <c r="AD225" s="43">
        <f>IF(ISBLANK(AE225),"","&lt;b&gt;")</f>
        <v/>
      </c>
      <c r="AE225" s="51" t="inlineStr">
        <is>
          <t>02/13</t>
        </is>
      </c>
      <c r="AF225" s="42">
        <f>IF(ISBLANK(AE225),"",": ")</f>
        <v/>
      </c>
      <c r="AG225" s="42" t="inlineStr">
        <is>
          <t>FY27 reduction (-5%)</t>
        </is>
      </c>
      <c r="AH225" s="42">
        <f>IF(ISBLANK(AE225),"","&lt;/b&gt;")</f>
        <v/>
      </c>
      <c r="AI225" s="42" t="n"/>
      <c r="AJ225" s="42">
        <f>IF(ISBLANK(AI225),"","&lt;br&gt;"&amp;AI225)</f>
        <v/>
      </c>
      <c r="AK225" s="4" t="inlineStr">
        <is>
          <t>&lt;br&gt;</t>
        </is>
      </c>
      <c r="AL225" s="42" t="inlineStr">
        <is>
          <t>&lt;b&gt;&lt;i&gt;</t>
        </is>
      </c>
      <c r="AM225" s="42" t="inlineStr">
        <is>
          <t>public schools excluded &lt;br&gt;from holdback/reduction</t>
        </is>
      </c>
      <c r="AN225" s="42">
        <f>IF(ISBLANK(AM225),"","&lt;/i&gt;")</f>
        <v/>
      </c>
      <c r="AO225" s="35">
        <f>IF(ISBLANK(AQ225),"","&lt;/b&gt;&lt;br&gt;&lt;br&gt;")</f>
        <v/>
      </c>
      <c r="AP225" s="42">
        <f>IF(ISBLANK(AQ225),"","&lt;b&gt;")</f>
        <v/>
      </c>
      <c r="AQ225" s="47" t="inlineStr">
        <is>
          <t xml:space="preserve">Agency Reduction Plan:&lt;br&gt;Additional </t>
        </is>
      </c>
      <c r="AR225" s="42" t="n">
        <v>2</v>
      </c>
      <c r="AS225" s="4">
        <f>IF(ISBLANK(AR225),""," %")</f>
        <v/>
      </c>
      <c r="AT225" s="4">
        <f t="array" ref="AT225">_xlfn.IFS(NOT(ISBLANK(AU225))," (pgs. ",NOT(ISBLANK(AS225))," (pg. ", ISBLANK(AS225), "")</f>
        <v/>
      </c>
      <c r="AU225" s="52" t="n">
        <v>1</v>
      </c>
      <c r="AV225" s="4">
        <f>IF(ISBLANK(AW225),"",", ")</f>
        <v/>
      </c>
      <c r="AW225" s="42" t="n"/>
      <c r="AX225" s="4">
        <f>IF(ISBLANK(AY225),"",",&lt;br&gt;")</f>
        <v/>
      </c>
      <c r="AY225" s="42" t="n"/>
      <c r="AZ225" s="49">
        <f>IF(ISBLANK(AU225),"",")&lt;/b&gt;")</f>
        <v/>
      </c>
      <c r="BA225" s="4">
        <f>IF(ISBLANK(BC225),"","&lt;br&gt;")</f>
        <v/>
      </c>
      <c r="BB225" s="42">
        <f t="array" ref="BB225">IF(ISBLANK(BC225),"",_xlfn.LET(
_xlpm.words,_xlfn.TEXTSPLIT(TRIM(BC225),"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25" s="50" t="inlineStr">
        <is>
          <t>I will not be recommending further cuts to the public schools budget for FY 2026 or FY 2027. The public schools budget is more than numbers on a spreadsheet. It represents every one of our students, classrooms, teachers and communities.</t>
        </is>
      </c>
    </row>
    <row r="226">
      <c r="A226" s="20">
        <f>_xlfn.TEXTJOIN("", TRUE, F226:H226)</f>
        <v/>
      </c>
      <c r="B226" s="21">
        <f>_xlfn.TEXTJOIN("", TRUE, I226:S226)</f>
        <v/>
      </c>
      <c r="C226" s="21">
        <f>IF(ISBLANK(X226),"", _xlfn.TEXTJOIN("",TRUE,T226:Z226))</f>
        <v/>
      </c>
      <c r="D226" s="21">
        <f>IF(ISBLANK(AB226), "", _xlfn.TEXTJOIN("", TRUE, AA226:AC226))</f>
        <v/>
      </c>
      <c r="E226" s="22">
        <f>IF(AU226="NA", _xlfn.TEXTJOIN("", TRUE, AD226:AH226), _xlfn.TEXTJOIN("", TRUE, AD226:AJ226))</f>
        <v/>
      </c>
      <c r="F226" s="42">
        <f>IF(LEFT(G226,4)="FY26","&lt;b&gt;","&lt;i&gt;")</f>
        <v/>
      </c>
      <c r="G226" s="42" t="inlineStr">
        <is>
          <t>FY27 Maintenance</t>
        </is>
      </c>
      <c r="H226" s="42">
        <f>IF(LEFT(G226,4)="FY26","&lt;/b&gt;","&lt;/i&gt;")</f>
        <v/>
      </c>
      <c r="I226" s="43" t="inlineStr">
        <is>
          <t>&lt;i&gt;</t>
        </is>
      </c>
      <c r="J226" s="44" t="inlineStr">
        <is>
          <t>Public Schools</t>
        </is>
      </c>
      <c r="K226" s="44" t="inlineStr">
        <is>
          <t>&lt;/i&gt;</t>
        </is>
      </c>
      <c r="L226" s="4">
        <f>IF(ISBLANK(N226),"","&lt;br&gt;")</f>
        <v/>
      </c>
      <c r="M226" s="42">
        <f>IF(ISBLANK(R226),"&lt;b&gt;","&lt;i&gt;")</f>
        <v/>
      </c>
      <c r="N226" s="42" t="inlineStr">
        <is>
          <t>Operations</t>
        </is>
      </c>
      <c r="O226" s="42">
        <f>IF(ISBLANK(R226),"&lt;/b&gt;","&lt;/i&gt;")</f>
        <v/>
      </c>
      <c r="P226" s="4">
        <f>IF(ISBLANK(R226),"","&lt;br&gt;")</f>
        <v/>
      </c>
      <c r="Q226" s="42">
        <f>IF(ISBLANK(R226),"","&lt;b&gt;")</f>
        <v/>
      </c>
      <c r="R226" s="42" t="n"/>
      <c r="S226" s="42">
        <f>IF(ISBLANK(R226),"","&lt;/i&gt;")</f>
        <v/>
      </c>
      <c r="T226" s="43">
        <f>IF(ISBLANK(X226),"",IF(OR(AB226="PASSED",ISBLANK(N226)),"&lt;b&gt;","&lt;i&gt;"))</f>
        <v/>
      </c>
      <c r="U226" s="3">
        <f>IF(ISBLANK(V226),"","&lt;a href='")</f>
        <v/>
      </c>
      <c r="V226" s="39" t="inlineStr">
        <is>
          <t>https://legislature.idaho.gov/sessioninfo/2026/legislation/S1362/</t>
        </is>
      </c>
      <c r="W226" s="17">
        <f>IF(ISBLANK(V226),"","'&gt;")</f>
        <v/>
      </c>
      <c r="X226" s="12" t="inlineStr">
        <is>
          <t>Senate Bill 1362</t>
        </is>
      </c>
      <c r="Y226" s="17">
        <f>IF(ISBLANK(X226),"","&lt;/a&gt;")</f>
        <v/>
      </c>
      <c r="Z226" s="42">
        <f>IF(ISBLANK(X226),"",IF(OR(AB226="PASSED",ISBLANK(N226)),"&lt;/b&gt;","&lt;/i&gt;"))</f>
        <v/>
      </c>
      <c r="AA226" s="43">
        <f>IF(AB226="PASSED","&lt;b&gt;","")</f>
        <v/>
      </c>
      <c r="AB226" s="45" t="inlineStr">
        <is>
          <t>INTRODUCED</t>
        </is>
      </c>
      <c r="AC226" s="43">
        <f>IF(AB226="PASSED","&lt;/b&gt;","")</f>
        <v/>
      </c>
      <c r="AD226" s="43">
        <f>IF(ISBLANK(AE226),"","&lt;b&gt;")</f>
        <v/>
      </c>
      <c r="AE226" s="51" t="inlineStr">
        <is>
          <t>02/13</t>
        </is>
      </c>
      <c r="AF226" s="42">
        <f>IF(ISBLANK(AE226),"",": ")</f>
        <v/>
      </c>
      <c r="AG226" s="42" t="inlineStr">
        <is>
          <t>FY27 reduction (-5%)</t>
        </is>
      </c>
      <c r="AH226" s="42">
        <f>IF(ISBLANK(AE226),"","&lt;/b&gt;")</f>
        <v/>
      </c>
      <c r="AI226" s="42" t="n"/>
      <c r="AJ226" s="42">
        <f>IF(ISBLANK(AI226),"","&lt;br&gt;"&amp;AI226)</f>
        <v/>
      </c>
      <c r="AK226" s="4" t="inlineStr">
        <is>
          <t>&lt;br&gt;</t>
        </is>
      </c>
      <c r="AL226" s="42" t="inlineStr">
        <is>
          <t>&lt;b&gt;&lt;i&gt;</t>
        </is>
      </c>
      <c r="AM226" s="42" t="inlineStr">
        <is>
          <t>public schools excluded &lt;br&gt;from holdback/reduction</t>
        </is>
      </c>
      <c r="AN226" s="42">
        <f>IF(ISBLANK(AM226),"","&lt;/i&gt;")</f>
        <v/>
      </c>
      <c r="AO226" s="35">
        <f>IF(ISBLANK(AQ226),"","&lt;/b&gt;&lt;br&gt;&lt;br&gt;")</f>
        <v/>
      </c>
      <c r="AP226" s="42">
        <f>IF(ISBLANK(AQ226),"","&lt;b&gt;")</f>
        <v/>
      </c>
      <c r="AQ226" s="47" t="inlineStr">
        <is>
          <t xml:space="preserve">Agency Reduction Plan:&lt;br&gt;Additional </t>
        </is>
      </c>
      <c r="AR226" s="42" t="n">
        <v>2</v>
      </c>
      <c r="AS226" s="4">
        <f>IF(ISBLANK(AR226),""," %")</f>
        <v/>
      </c>
      <c r="AT226" s="4">
        <f t="array" ref="AT226">_xlfn.IFS(NOT(ISBLANK(AU226))," (pgs. ",NOT(ISBLANK(AS226))," (pg. ", ISBLANK(AS226), "")</f>
        <v/>
      </c>
      <c r="AU226" s="52" t="n">
        <v>1</v>
      </c>
      <c r="AV226" s="4">
        <f>IF(ISBLANK(AW226),"",", ")</f>
        <v/>
      </c>
      <c r="AW226" s="42" t="n"/>
      <c r="AX226" s="4">
        <f>IF(ISBLANK(AY226),"",",&lt;br&gt;")</f>
        <v/>
      </c>
      <c r="AY226" s="42" t="n"/>
      <c r="AZ226" s="49">
        <f>IF(ISBLANK(AU226),"",")&lt;/b&gt;")</f>
        <v/>
      </c>
      <c r="BA226" s="4">
        <f>IF(ISBLANK(BC226),"","&lt;br&gt;")</f>
        <v/>
      </c>
      <c r="BB226" s="42">
        <f t="array" ref="BB226">IF(ISBLANK(BC226),"",_xlfn.LET(
_xlpm.words,_xlfn.TEXTSPLIT(TRIM(BC226),"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26" s="50" t="inlineStr">
        <is>
          <t>I will not be recommending further cuts to the public schools budget for FY 2026 or FY 2027. The public schools budget is more than numbers on a spreadsheet. It represents every one of our students, classrooms, teachers and communities.</t>
        </is>
      </c>
    </row>
    <row r="227">
      <c r="A227" s="20">
        <f>_xlfn.TEXTJOIN("", TRUE, F227:H227)</f>
        <v/>
      </c>
      <c r="B227" s="21">
        <f>_xlfn.TEXTJOIN("", TRUE, I227:S227)</f>
        <v/>
      </c>
      <c r="C227" s="21">
        <f>IF(ISBLANK(X227),"", _xlfn.TEXTJOIN("",TRUE,T227:Z227))</f>
        <v/>
      </c>
      <c r="D227" s="21">
        <f>IF(ISBLANK(AB227), "", _xlfn.TEXTJOIN("", TRUE, AA227:AC227))</f>
        <v/>
      </c>
      <c r="E227" s="22">
        <f>IF(AU227="NA", _xlfn.TEXTJOIN("", TRUE, AD227:AH227), _xlfn.TEXTJOIN("", TRUE, AD227:AJ227))</f>
        <v/>
      </c>
      <c r="F227" s="42">
        <f>IF(LEFT(G227,4)="FY26","&lt;b&gt;","&lt;i&gt;")</f>
        <v/>
      </c>
      <c r="G227" s="42" t="inlineStr">
        <is>
          <t>FY27 Maintenance</t>
        </is>
      </c>
      <c r="H227" s="42">
        <f>IF(LEFT(G227,4)="FY26","&lt;/b&gt;","&lt;/i&gt;")</f>
        <v/>
      </c>
      <c r="I227" s="43" t="inlineStr">
        <is>
          <t>&lt;i&gt;</t>
        </is>
      </c>
      <c r="J227" s="44" t="inlineStr">
        <is>
          <t>Public Schools</t>
        </is>
      </c>
      <c r="K227" s="44" t="inlineStr">
        <is>
          <t>&lt;/i&gt;</t>
        </is>
      </c>
      <c r="L227" s="4">
        <f>IF(ISBLANK(N227),"","&lt;br&gt;")</f>
        <v/>
      </c>
      <c r="M227" s="42">
        <f>IF(ISBLANK(R227),"&lt;b&gt;","&lt;i&gt;")</f>
        <v/>
      </c>
      <c r="N227" s="42" t="inlineStr">
        <is>
          <t>Services for the Deaf &amp; the Blind</t>
        </is>
      </c>
      <c r="O227" s="42">
        <f>IF(ISBLANK(R227),"&lt;/b&gt;","&lt;/i&gt;")</f>
        <v/>
      </c>
      <c r="P227" s="4">
        <f>IF(ISBLANK(R227),"","&lt;br&gt;")</f>
        <v/>
      </c>
      <c r="Q227" s="42">
        <f>IF(ISBLANK(R227),"","&lt;b&gt;")</f>
        <v/>
      </c>
      <c r="R227" s="42" t="n"/>
      <c r="S227" s="42">
        <f>IF(ISBLANK(R227),"","&lt;/i&gt;")</f>
        <v/>
      </c>
      <c r="T227" s="43">
        <f>IF(ISBLANK(X227),"",IF(OR(AB227="PASSED",ISBLANK(N227)),"&lt;b&gt;","&lt;i&gt;"))</f>
        <v/>
      </c>
      <c r="U227" s="3">
        <f>IF(ISBLANK(V227),"","&lt;a href='")</f>
        <v/>
      </c>
      <c r="V227" s="39" t="inlineStr">
        <is>
          <t>https://legislature.idaho.gov/sessioninfo/2026/legislation/S1362/</t>
        </is>
      </c>
      <c r="W227" s="17">
        <f>IF(ISBLANK(V227),"","'&gt;")</f>
        <v/>
      </c>
      <c r="X227" s="12" t="inlineStr">
        <is>
          <t>Senate Bill 1362</t>
        </is>
      </c>
      <c r="Y227" s="17">
        <f>IF(ISBLANK(X227),"","&lt;/a&gt;")</f>
        <v/>
      </c>
      <c r="Z227" s="42">
        <f>IF(ISBLANK(X227),"",IF(OR(AB227="PASSED",ISBLANK(N227)),"&lt;/b&gt;","&lt;/i&gt;"))</f>
        <v/>
      </c>
      <c r="AA227" s="43">
        <f>IF(AB227="PASSED","&lt;b&gt;","")</f>
        <v/>
      </c>
      <c r="AB227" s="45" t="inlineStr">
        <is>
          <t>INTRODUCED</t>
        </is>
      </c>
      <c r="AC227" s="43">
        <f>IF(AB227="PASSED","&lt;/b&gt;","")</f>
        <v/>
      </c>
      <c r="AD227" s="43">
        <f>IF(ISBLANK(AE227),"","&lt;b&gt;")</f>
        <v/>
      </c>
      <c r="AE227" s="51" t="inlineStr">
        <is>
          <t>02/13</t>
        </is>
      </c>
      <c r="AF227" s="42">
        <f>IF(ISBLANK(AE227),"",": ")</f>
        <v/>
      </c>
      <c r="AG227" s="42" t="inlineStr">
        <is>
          <t>FY27 reduction (-5%)</t>
        </is>
      </c>
      <c r="AH227" s="42">
        <f>IF(ISBLANK(AE227),"","&lt;/b&gt;")</f>
        <v/>
      </c>
      <c r="AI227" s="42" t="n"/>
      <c r="AJ227" s="42">
        <f>IF(ISBLANK(AI227),"","&lt;br&gt;"&amp;AI227)</f>
        <v/>
      </c>
      <c r="AK227" s="4" t="inlineStr">
        <is>
          <t>&lt;br&gt;</t>
        </is>
      </c>
      <c r="AL227" s="42" t="inlineStr">
        <is>
          <t>&lt;b&gt;&lt;i&gt;</t>
        </is>
      </c>
      <c r="AM227" s="42" t="inlineStr">
        <is>
          <t>public schools excluded &lt;br&gt;from holdback/reduction</t>
        </is>
      </c>
      <c r="AN227" s="42">
        <f>IF(ISBLANK(AM227),"","&lt;/i&gt;")</f>
        <v/>
      </c>
      <c r="AO227" s="35">
        <f>IF(ISBLANK(AQ227),"","&lt;/b&gt;&lt;br&gt;&lt;br&gt;")</f>
        <v/>
      </c>
      <c r="AP227" s="42">
        <f>IF(ISBLANK(AQ227),"","&lt;b&gt;")</f>
        <v/>
      </c>
      <c r="AQ227" s="47" t="inlineStr">
        <is>
          <t xml:space="preserve">Agency Reduction Plan:&lt;br&gt;Additional </t>
        </is>
      </c>
      <c r="AR227" s="42" t="n">
        <v>2</v>
      </c>
      <c r="AS227" s="4">
        <f>IF(ISBLANK(AR227),""," %")</f>
        <v/>
      </c>
      <c r="AT227" s="4">
        <f t="array" ref="AT227">_xlfn.IFS(NOT(ISBLANK(AU227))," (pgs. ",NOT(ISBLANK(AS227))," (pg. ", ISBLANK(AS227), "")</f>
        <v/>
      </c>
      <c r="AU227" s="52" t="n">
        <v>1</v>
      </c>
      <c r="AV227" s="4">
        <f>IF(ISBLANK(AW227),"",", ")</f>
        <v/>
      </c>
      <c r="AW227" s="42" t="n"/>
      <c r="AX227" s="4">
        <f>IF(ISBLANK(AY227),"",",&lt;br&gt;")</f>
        <v/>
      </c>
      <c r="AY227" s="42" t="n"/>
      <c r="AZ227" s="49">
        <f>IF(ISBLANK(AU227),"",")&lt;/b&gt;")</f>
        <v/>
      </c>
      <c r="BA227" s="4">
        <f>IF(ISBLANK(BC227),"","&lt;br&gt;")</f>
        <v/>
      </c>
      <c r="BB227" s="42">
        <f t="array" ref="BB227">IF(ISBLANK(BC227),"",_xlfn.LET(
_xlpm.words,_xlfn.TEXTSPLIT(TRIM(BC227),"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27" s="50" t="inlineStr">
        <is>
          <t>I will not be recommending further cuts to the public schools budget for FY 2026 or FY 2027. The public schools budget is more than numbers on a spreadsheet. It represents every one of our students, classrooms, teachers and communities.</t>
        </is>
      </c>
    </row>
    <row r="228">
      <c r="A228" s="20">
        <f>_xlfn.TEXTJOIN("", TRUE, F228:H228)</f>
        <v/>
      </c>
      <c r="B228" s="21">
        <f>_xlfn.TEXTJOIN("", TRUE, I228:S228)</f>
        <v/>
      </c>
      <c r="C228" s="21">
        <f>IF(ISBLANK(X228),"", _xlfn.TEXTJOIN("",TRUE,T228:Z228))</f>
        <v/>
      </c>
      <c r="D228" s="21">
        <f>IF(ISBLANK(AB228), "", _xlfn.TEXTJOIN("", TRUE, AA228:AC228))</f>
        <v/>
      </c>
      <c r="E228" s="22">
        <f>IF(AU228="NA", _xlfn.TEXTJOIN("", TRUE, AD228:AH228), _xlfn.TEXTJOIN("", TRUE, AD228:AJ228))</f>
        <v/>
      </c>
      <c r="F228" s="42">
        <f>IF(LEFT(G228,4)="FY26","&lt;b&gt;","&lt;i&gt;")</f>
        <v/>
      </c>
      <c r="G228" s="42" t="inlineStr">
        <is>
          <t>FY27 Maintenance</t>
        </is>
      </c>
      <c r="H228" s="42">
        <f>IF(LEFT(G228,4)="FY26","&lt;/b&gt;","&lt;/i&gt;")</f>
        <v/>
      </c>
      <c r="I228" s="43" t="inlineStr">
        <is>
          <t>&lt;i&gt;</t>
        </is>
      </c>
      <c r="J228" s="44" t="inlineStr">
        <is>
          <t>Public Schools</t>
        </is>
      </c>
      <c r="K228" s="44" t="inlineStr">
        <is>
          <t>&lt;/i&gt;</t>
        </is>
      </c>
      <c r="L228" s="4">
        <f>IF(ISBLANK(N228),"","&lt;br&gt;")</f>
        <v/>
      </c>
      <c r="M228" s="42">
        <f>IF(ISBLANK(R228),"&lt;b&gt;","&lt;i&gt;")</f>
        <v/>
      </c>
      <c r="N228" s="42" t="inlineStr">
        <is>
          <t>Student Support</t>
        </is>
      </c>
      <c r="O228" s="42">
        <f>IF(ISBLANK(R228),"&lt;/b&gt;","&lt;/i&gt;")</f>
        <v/>
      </c>
      <c r="P228" s="4">
        <f>IF(ISBLANK(R228),"","&lt;br&gt;")</f>
        <v/>
      </c>
      <c r="Q228" s="42">
        <f>IF(ISBLANK(R228),"","&lt;b&gt;")</f>
        <v/>
      </c>
      <c r="R228" s="42" t="n"/>
      <c r="S228" s="42">
        <f>IF(ISBLANK(R228),"","&lt;/i&gt;")</f>
        <v/>
      </c>
      <c r="T228" s="43">
        <f>IF(ISBLANK(X228),"",IF(OR(AB228="PASSED",ISBLANK(N228)),"&lt;b&gt;","&lt;i&gt;"))</f>
        <v/>
      </c>
      <c r="U228" s="3">
        <f>IF(ISBLANK(V228),"","&lt;a href='")</f>
        <v/>
      </c>
      <c r="V228" s="39" t="inlineStr">
        <is>
          <t>https://legislature.idaho.gov/sessioninfo/2026/legislation/S1362/</t>
        </is>
      </c>
      <c r="W228" s="17">
        <f>IF(ISBLANK(V228),"","'&gt;")</f>
        <v/>
      </c>
      <c r="X228" s="12" t="inlineStr">
        <is>
          <t>Senate Bill 1362</t>
        </is>
      </c>
      <c r="Y228" s="17">
        <f>IF(ISBLANK(X228),"","&lt;/a&gt;")</f>
        <v/>
      </c>
      <c r="Z228" s="42">
        <f>IF(ISBLANK(X228),"",IF(OR(AB228="PASSED",ISBLANK(N228)),"&lt;/b&gt;","&lt;/i&gt;"))</f>
        <v/>
      </c>
      <c r="AA228" s="43">
        <f>IF(AB228="PASSED","&lt;b&gt;","")</f>
        <v/>
      </c>
      <c r="AB228" s="45" t="inlineStr">
        <is>
          <t>INTRODUCED</t>
        </is>
      </c>
      <c r="AC228" s="43">
        <f>IF(AB228="PASSED","&lt;/b&gt;","")</f>
        <v/>
      </c>
      <c r="AD228" s="43">
        <f>IF(ISBLANK(AE228),"","&lt;b&gt;")</f>
        <v/>
      </c>
      <c r="AE228" s="51" t="inlineStr">
        <is>
          <t>02/13</t>
        </is>
      </c>
      <c r="AF228" s="42">
        <f>IF(ISBLANK(AE228),"",": ")</f>
        <v/>
      </c>
      <c r="AG228" s="42" t="inlineStr">
        <is>
          <t>FY27 reduction (-5%)</t>
        </is>
      </c>
      <c r="AH228" s="42">
        <f>IF(ISBLANK(AE228),"","&lt;/b&gt;")</f>
        <v/>
      </c>
      <c r="AI228" s="42" t="n"/>
      <c r="AJ228" s="42">
        <f>IF(ISBLANK(AI228),"","&lt;br&gt;"&amp;AI228)</f>
        <v/>
      </c>
      <c r="AK228" s="4" t="inlineStr">
        <is>
          <t>&lt;br&gt;</t>
        </is>
      </c>
      <c r="AL228" s="42" t="inlineStr">
        <is>
          <t>&lt;b&gt;&lt;i&gt;</t>
        </is>
      </c>
      <c r="AM228" s="42" t="inlineStr">
        <is>
          <t>public schools excluded &lt;br&gt;from holdback/reduction</t>
        </is>
      </c>
      <c r="AN228" s="42">
        <f>IF(ISBLANK(AM228),"","&lt;/i&gt;")</f>
        <v/>
      </c>
      <c r="AO228" s="35">
        <f>IF(ISBLANK(AQ228),"","&lt;/b&gt;&lt;br&gt;&lt;br&gt;")</f>
        <v/>
      </c>
      <c r="AP228" s="42">
        <f>IF(ISBLANK(AQ228),"","&lt;b&gt;")</f>
        <v/>
      </c>
      <c r="AQ228" s="47" t="inlineStr">
        <is>
          <t xml:space="preserve">Agency Reduction Plan:&lt;br&gt;Additional </t>
        </is>
      </c>
      <c r="AR228" s="42" t="n">
        <v>2</v>
      </c>
      <c r="AS228" s="4">
        <f>IF(ISBLANK(AR228),""," %")</f>
        <v/>
      </c>
      <c r="AT228" s="4">
        <f t="array" ref="AT228">_xlfn.IFS(NOT(ISBLANK(AU228))," (pgs. ",NOT(ISBLANK(AS228))," (pg. ", ISBLANK(AS228), "")</f>
        <v/>
      </c>
      <c r="AU228" s="52" t="n">
        <v>1</v>
      </c>
      <c r="AV228" s="4">
        <f>IF(ISBLANK(AW228),"",", ")</f>
        <v/>
      </c>
      <c r="AW228" s="42" t="n"/>
      <c r="AX228" s="4">
        <f>IF(ISBLANK(AY228),"",",&lt;br&gt;")</f>
        <v/>
      </c>
      <c r="AY228" s="42" t="n"/>
      <c r="AZ228" s="49">
        <f>IF(ISBLANK(AU228),"",")&lt;/b&gt;")</f>
        <v/>
      </c>
      <c r="BA228" s="4">
        <f>IF(ISBLANK(BC228),"","&lt;br&gt;")</f>
        <v/>
      </c>
      <c r="BB228" s="42">
        <f t="array" ref="BB228">IF(ISBLANK(BC228),"",_xlfn.LET(
_xlpm.words,_xlfn.TEXTSPLIT(TRIM(BC228),"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28" s="50" t="inlineStr">
        <is>
          <t>I will not be recommending further cuts to the public schools budget for FY 2026 or FY 2027. The public schools budget is more than numbers on a spreadsheet. It represents every one of our students, classrooms, teachers and communities.</t>
        </is>
      </c>
    </row>
    <row r="229">
      <c r="A229" s="20">
        <f>_xlfn.TEXTJOIN("", TRUE, F229:H229)</f>
        <v/>
      </c>
      <c r="B229" s="21">
        <f>_xlfn.TEXTJOIN("", TRUE, I229:S229)</f>
        <v/>
      </c>
      <c r="C229" s="21">
        <f>IF(ISBLANK(X229),"", _xlfn.TEXTJOIN("",TRUE,T229:Z229))</f>
        <v/>
      </c>
      <c r="D229" s="21">
        <f>IF(ISBLANK(AB229), "", _xlfn.TEXTJOIN("", TRUE, AA229:AC229))</f>
        <v/>
      </c>
      <c r="E229" s="22">
        <f>IF(AU229="NA", _xlfn.TEXTJOIN("", TRUE, AD229:AH229), _xlfn.TEXTJOIN("", TRUE, AD229:AJ229))</f>
        <v/>
      </c>
      <c r="F229" s="42">
        <f>IF(LEFT(G229,4)="FY26","&lt;b&gt;","&lt;i&gt;")</f>
        <v/>
      </c>
      <c r="G229" s="42" t="inlineStr">
        <is>
          <t>FY27 Maintenance</t>
        </is>
      </c>
      <c r="H229" s="42">
        <f>IF(LEFT(G229,4)="FY26","&lt;/b&gt;","&lt;/i&gt;")</f>
        <v/>
      </c>
      <c r="I229" s="43" t="inlineStr">
        <is>
          <t>&lt;i&gt;</t>
        </is>
      </c>
      <c r="J229" s="44" t="inlineStr">
        <is>
          <t>Public Schools</t>
        </is>
      </c>
      <c r="K229" s="44" t="inlineStr">
        <is>
          <t>&lt;/i&gt;</t>
        </is>
      </c>
      <c r="L229" s="4">
        <f>IF(ISBLANK(N229),"","&lt;br&gt;")</f>
        <v/>
      </c>
      <c r="M229" s="42">
        <f>IF(ISBLANK(R229),"&lt;b&gt;","&lt;i&gt;")</f>
        <v/>
      </c>
      <c r="N229" s="42" t="inlineStr">
        <is>
          <t>Teachers</t>
        </is>
      </c>
      <c r="O229" s="42">
        <f>IF(ISBLANK(R229),"&lt;/b&gt;","&lt;/i&gt;")</f>
        <v/>
      </c>
      <c r="P229" s="4">
        <f>IF(ISBLANK(R229),"","&lt;br&gt;")</f>
        <v/>
      </c>
      <c r="Q229" s="42">
        <f>IF(ISBLANK(R229),"","&lt;b&gt;")</f>
        <v/>
      </c>
      <c r="R229" s="42" t="n"/>
      <c r="S229" s="42">
        <f>IF(ISBLANK(R229),"","&lt;/i&gt;")</f>
        <v/>
      </c>
      <c r="T229" s="43">
        <f>IF(ISBLANK(X229),"",IF(OR(AB229="PASSED",ISBLANK(N229)),"&lt;b&gt;","&lt;i&gt;"))</f>
        <v/>
      </c>
      <c r="U229" s="3">
        <f>IF(ISBLANK(V229),"","&lt;a href='")</f>
        <v/>
      </c>
      <c r="V229" s="39" t="inlineStr">
        <is>
          <t>https://legislature.idaho.gov/sessioninfo/2026/legislation/S1362/</t>
        </is>
      </c>
      <c r="W229" s="17">
        <f>IF(ISBLANK(V229),"","'&gt;")</f>
        <v/>
      </c>
      <c r="X229" s="12" t="inlineStr">
        <is>
          <t>Senate Bill 1362</t>
        </is>
      </c>
      <c r="Y229" s="17">
        <f>IF(ISBLANK(X229),"","&lt;/a&gt;")</f>
        <v/>
      </c>
      <c r="Z229" s="42">
        <f>IF(ISBLANK(X229),"",IF(OR(AB229="PASSED",ISBLANK(N229)),"&lt;/b&gt;","&lt;/i&gt;"))</f>
        <v/>
      </c>
      <c r="AA229" s="43">
        <f>IF(AB229="PASSED","&lt;b&gt;","")</f>
        <v/>
      </c>
      <c r="AB229" s="45" t="inlineStr">
        <is>
          <t>INTRODUCED</t>
        </is>
      </c>
      <c r="AC229" s="43">
        <f>IF(AB229="PASSED","&lt;/b&gt;","")</f>
        <v/>
      </c>
      <c r="AD229" s="43">
        <f>IF(ISBLANK(AE229),"","&lt;b&gt;")</f>
        <v/>
      </c>
      <c r="AE229" s="51" t="inlineStr">
        <is>
          <t>02/13</t>
        </is>
      </c>
      <c r="AF229" s="42">
        <f>IF(ISBLANK(AE229),"",": ")</f>
        <v/>
      </c>
      <c r="AG229" s="42" t="inlineStr">
        <is>
          <t>FY27 reduction (-5%)</t>
        </is>
      </c>
      <c r="AH229" s="42">
        <f>IF(ISBLANK(AE229),"","&lt;/b&gt;")</f>
        <v/>
      </c>
      <c r="AI229" s="42" t="n"/>
      <c r="AJ229" s="42">
        <f>IF(ISBLANK(AI229),"","&lt;br&gt;"&amp;AI229)</f>
        <v/>
      </c>
      <c r="AK229" s="4" t="inlineStr">
        <is>
          <t>&lt;br&gt;</t>
        </is>
      </c>
      <c r="AL229" s="42" t="inlineStr">
        <is>
          <t>&lt;b&gt;&lt;i&gt;</t>
        </is>
      </c>
      <c r="AM229" s="42" t="inlineStr">
        <is>
          <t>public schools excluded &lt;br&gt;from holdback/reduction</t>
        </is>
      </c>
      <c r="AN229" s="42">
        <f>IF(ISBLANK(AM229),"","&lt;/i&gt;")</f>
        <v/>
      </c>
      <c r="AO229" s="35">
        <f>IF(ISBLANK(AQ229),"","&lt;/b&gt;&lt;br&gt;&lt;br&gt;")</f>
        <v/>
      </c>
      <c r="AP229" s="42">
        <f>IF(ISBLANK(AQ229),"","&lt;b&gt;")</f>
        <v/>
      </c>
      <c r="AQ229" s="47" t="inlineStr">
        <is>
          <t xml:space="preserve">Agency Reduction Plan:&lt;br&gt;Additional </t>
        </is>
      </c>
      <c r="AR229" s="42" t="n">
        <v>2</v>
      </c>
      <c r="AS229" s="4">
        <f>IF(ISBLANK(AR229),""," %")</f>
        <v/>
      </c>
      <c r="AT229" s="4">
        <f t="array" ref="AT229">_xlfn.IFS(NOT(ISBLANK(AU229))," (pgs. ",NOT(ISBLANK(AS229))," (pg. ", ISBLANK(AS229), "")</f>
        <v/>
      </c>
      <c r="AU229" s="52" t="n">
        <v>1</v>
      </c>
      <c r="AV229" s="4">
        <f>IF(ISBLANK(AW229),"",", ")</f>
        <v/>
      </c>
      <c r="AW229" s="42" t="n"/>
      <c r="AX229" s="4">
        <f>IF(ISBLANK(AY229),"",",&lt;br&gt;")</f>
        <v/>
      </c>
      <c r="AY229" s="42" t="n"/>
      <c r="AZ229" s="49">
        <f>IF(ISBLANK(AU229),"",")&lt;/b&gt;")</f>
        <v/>
      </c>
      <c r="BA229" s="4">
        <f>IF(ISBLANK(BC229),"","&lt;br&gt;")</f>
        <v/>
      </c>
      <c r="BB229" s="42">
        <f t="array" ref="BB229">IF(ISBLANK(BC229),"",_xlfn.LET(
_xlpm.words,_xlfn.TEXTSPLIT(TRIM(BC229),"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29" s="50" t="inlineStr">
        <is>
          <t>I will not be recommending further cuts to the public schools budget for FY 2026 or FY 2027. The public schools budget is more than numbers on a spreadsheet. It represents every one of our students, classrooms, teachers and communities.</t>
        </is>
      </c>
    </row>
    <row r="230">
      <c r="A230" s="20">
        <f>_xlfn.TEXTJOIN("", TRUE, F230:H230)</f>
        <v/>
      </c>
      <c r="B230" s="21">
        <f>_xlfn.TEXTJOIN("", TRUE, I230:S230)</f>
        <v/>
      </c>
      <c r="C230" s="21">
        <f>IF(ISBLANK(X230),"", _xlfn.TEXTJOIN("",TRUE,T230:Z230))</f>
        <v/>
      </c>
      <c r="D230" s="21">
        <f>IF(ISBLANK(AB230), "", _xlfn.TEXTJOIN("", TRUE, AA230:AC230))</f>
        <v/>
      </c>
      <c r="E230" s="22">
        <f>IF(AU230="NA", _xlfn.TEXTJOIN("", TRUE, AD230:AH230), _xlfn.TEXTJOIN("", TRUE, AD230:AJ230))</f>
        <v/>
      </c>
      <c r="F230" s="42">
        <f>IF(LEFT(G230,4)="FY26","&lt;b&gt;","&lt;i&gt;")</f>
        <v/>
      </c>
      <c r="G230" s="42" t="inlineStr">
        <is>
          <t>FY27 Maintenance</t>
        </is>
      </c>
      <c r="H230" s="42">
        <f>IF(LEFT(G230,4)="FY26","&lt;/b&gt;","&lt;/i&gt;")</f>
        <v/>
      </c>
      <c r="I230" s="43" t="inlineStr">
        <is>
          <t>&lt;i&gt;</t>
        </is>
      </c>
      <c r="J230" s="44" t="inlineStr">
        <is>
          <t>State Board of Education</t>
        </is>
      </c>
      <c r="K230" s="44" t="inlineStr">
        <is>
          <t>&lt;/i&gt;</t>
        </is>
      </c>
      <c r="L230" s="42">
        <f>IF(ISBLANK(N230),"","&lt;br&gt;")</f>
        <v/>
      </c>
      <c r="M230" s="42">
        <f>IF(ISBLANK(R230),"&lt;b&gt;","&lt;i&gt;")</f>
        <v/>
      </c>
      <c r="N230" s="42" t="n"/>
      <c r="O230" s="42">
        <f>IF(ISBLANK(R230),"&lt;/b&gt;","&lt;/i&gt;")</f>
        <v/>
      </c>
      <c r="P230" s="4">
        <f>IF(ISBLANK(R230),"","&lt;br&gt;")</f>
        <v/>
      </c>
      <c r="Q230" s="42">
        <f>IF(ISBLANK(R230),"","&lt;b&gt;")</f>
        <v/>
      </c>
      <c r="R230" s="42" t="n"/>
      <c r="S230" s="42">
        <f>IF(ISBLANK(R230),"","&lt;/i&gt;")</f>
        <v/>
      </c>
      <c r="T230" s="43">
        <f>IF(ISBLANK(X230),"",IF(OR(AB230="PASSED",ISBLANK(N230)),"&lt;b&gt;","&lt;i&gt;"))</f>
        <v/>
      </c>
      <c r="U230" s="3">
        <f>IF(ISBLANK(V230),"","&lt;a href='")</f>
        <v/>
      </c>
      <c r="V230" s="13" t="inlineStr">
        <is>
          <t>https://legislature.idaho.gov/sessioninfo/rs/</t>
        </is>
      </c>
      <c r="W230" s="17">
        <f>IF(ISBLANK(V230),"","'&gt;")</f>
        <v/>
      </c>
      <c r="X230" s="12" t="inlineStr">
        <is>
          <t>State Board of Education</t>
        </is>
      </c>
      <c r="Y230" s="17">
        <f>IF(ISBLANK(X230),"","&lt;/a&gt;")</f>
        <v/>
      </c>
      <c r="Z230" s="42">
        <f>IF(ISBLANK(X230),"",IF(OR(AB230="PASSED",ISBLANK(N230)),"&lt;/b&gt;","&lt;/i&gt;"))</f>
        <v/>
      </c>
      <c r="AA230" s="43">
        <f>IF(AB230="PASSED","&lt;b&gt;","")</f>
        <v/>
      </c>
      <c r="AB230" s="45" t="inlineStr">
        <is>
          <t>INTRODUCED</t>
        </is>
      </c>
      <c r="AC230" s="43">
        <f>IF(AB230="PASSED","&lt;/b&gt;","")</f>
        <v/>
      </c>
      <c r="AD230" s="43">
        <f>IF(ISBLANK(AE230),"","&lt;b&gt;")</f>
        <v/>
      </c>
      <c r="AE230" s="51" t="inlineStr">
        <is>
          <t>02/13</t>
        </is>
      </c>
      <c r="AF230" s="42">
        <f>IF(ISBLANK(AE230),"",": ")</f>
        <v/>
      </c>
      <c r="AG230" s="42" t="inlineStr">
        <is>
          <t>FY27 maintenance (-5%)</t>
        </is>
      </c>
      <c r="AH230" s="42">
        <f>IF(ISBLANK(AE230),"","&lt;/b&gt;")</f>
        <v/>
      </c>
      <c r="AI230" s="42" t="n"/>
      <c r="AJ230" s="42">
        <f>IF(ISBLANK(AI230),"","&lt;br&gt;"&amp;AI230)</f>
        <v/>
      </c>
      <c r="AK230" s="4" t="inlineStr">
        <is>
          <t>&lt;br&gt;</t>
        </is>
      </c>
      <c r="AL230" s="42" t="inlineStr">
        <is>
          <t>&lt;b&gt;&lt;i&gt;</t>
        </is>
      </c>
      <c r="AM230" s="42" t="inlineStr">
        <is>
          <t>Governor's 3% + JFAC's 2%</t>
        </is>
      </c>
      <c r="AN230" s="42">
        <f>IF(ISBLANK(AM230),"","&lt;/i&gt;")</f>
        <v/>
      </c>
      <c r="AO230" s="35">
        <f>IF(ISBLANK(AQ230),"","&lt;/b&gt;&lt;br&gt;&lt;br&gt;")</f>
        <v/>
      </c>
      <c r="AP230" s="42">
        <f>IF(ISBLANK(AQ230),"","&lt;b&gt;")</f>
        <v/>
      </c>
      <c r="AQ230" s="42" t="n"/>
      <c r="AR230" s="4" t="n"/>
      <c r="AS230" s="4">
        <f>IF(ISBLANK(AR230),""," %")</f>
        <v/>
      </c>
      <c r="AT230" s="4">
        <f t="array" ref="AT230">_xlfn.IFS(NOT(ISBLANK(AU230))," (pgs. ",NOT(ISBLANK(AS230))," (pg. ", ISBLANK(AS230), "")</f>
        <v/>
      </c>
      <c r="AU230" s="42" t="n"/>
      <c r="AV230" s="4">
        <f>IF(ISBLANK(AW230),"",", ")</f>
        <v/>
      </c>
      <c r="AW230" s="42" t="n"/>
      <c r="AX230" s="4">
        <f>IF(ISBLANK(AY230),"",",&lt;br&gt;")</f>
        <v/>
      </c>
      <c r="AY230" s="42" t="n"/>
      <c r="AZ230" s="49">
        <f>IF(ISBLANK(AU230),"",")&lt;/b&gt;")</f>
        <v/>
      </c>
      <c r="BA230" s="4">
        <f>IF(ISBLANK(BC230),"","&lt;br&gt;")</f>
        <v/>
      </c>
      <c r="BB230" s="42">
        <f t="array" ref="BB230">IF(ISBLANK(BC230),"",_xlfn.LET(
_xlpm.words,_xlfn.TEXTSPLIT(TRIM(BC230),"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30" s="50" t="n"/>
    </row>
    <row r="231">
      <c r="A231" s="20">
        <f>_xlfn.TEXTJOIN("", TRUE, F231:H231)</f>
        <v/>
      </c>
      <c r="B231" s="21">
        <f>_xlfn.TEXTJOIN("", TRUE, I231:S231)</f>
        <v/>
      </c>
      <c r="C231" s="21">
        <f>IF(ISBLANK(X231),"", _xlfn.TEXTJOIN("",TRUE,T231:Z231))</f>
        <v/>
      </c>
      <c r="D231" s="21">
        <f>IF(ISBLANK(AB231), "", _xlfn.TEXTJOIN("", TRUE, AA231:AC231))</f>
        <v/>
      </c>
      <c r="E231" s="22">
        <f>IF(AU231="NA", _xlfn.TEXTJOIN("", TRUE, AD231:AH231), _xlfn.TEXTJOIN("", TRUE, AD231:AJ231))</f>
        <v/>
      </c>
      <c r="F231" s="42">
        <f>IF(LEFT(G231,4)="FY26","&lt;b&gt;","&lt;i&gt;")</f>
        <v/>
      </c>
      <c r="G231" s="42" t="inlineStr">
        <is>
          <t>FY27 Maintenance</t>
        </is>
      </c>
      <c r="H231" s="42">
        <f>IF(LEFT(G231,4)="FY26","&lt;/b&gt;","&lt;/i&gt;")</f>
        <v/>
      </c>
      <c r="I231" s="43" t="inlineStr">
        <is>
          <t>&lt;i&gt;</t>
        </is>
      </c>
      <c r="J231" s="44" t="inlineStr">
        <is>
          <t>State Board of Education</t>
        </is>
      </c>
      <c r="K231" s="44" t="inlineStr">
        <is>
          <t>&lt;/i&gt;</t>
        </is>
      </c>
      <c r="L231" s="4">
        <f>IF(ISBLANK(N231),"","&lt;br&gt;")</f>
        <v/>
      </c>
      <c r="M231" s="42">
        <f>IF(ISBLANK(R231),"&lt;b&gt;","&lt;i&gt;")</f>
        <v/>
      </c>
      <c r="N231" s="42" t="inlineStr">
        <is>
          <t>Agricultural Research &amp; Extension Service</t>
        </is>
      </c>
      <c r="O231" s="42">
        <f>IF(ISBLANK(R231),"&lt;/b&gt;","&lt;/i&gt;")</f>
        <v/>
      </c>
      <c r="P231" s="4">
        <f>IF(ISBLANK(R231),"","&lt;br&gt;")</f>
        <v/>
      </c>
      <c r="Q231" s="42">
        <f>IF(ISBLANK(R231),"","&lt;b&gt;")</f>
        <v/>
      </c>
      <c r="R231" s="42" t="n"/>
      <c r="S231" s="42">
        <f>IF(ISBLANK(R231),"","&lt;/i&gt;")</f>
        <v/>
      </c>
      <c r="T231" s="43">
        <f>IF(ISBLANK(X231),"",IF(OR(AB231="PASSED",ISBLANK(N231)),"&lt;b&gt;","&lt;i&gt;"))</f>
        <v/>
      </c>
      <c r="U231" s="3">
        <f>IF(ISBLANK(V231),"","&lt;a href='")</f>
        <v/>
      </c>
      <c r="V231" s="13" t="inlineStr">
        <is>
          <t>https://legislature.idaho.gov/sessioninfo/rs/</t>
        </is>
      </c>
      <c r="W231" s="17">
        <f>IF(ISBLANK(V231),"","'&gt;")</f>
        <v/>
      </c>
      <c r="X231" s="12" t="inlineStr">
        <is>
          <t>State Board of Education</t>
        </is>
      </c>
      <c r="Y231" s="17">
        <f>IF(ISBLANK(X231),"","&lt;/a&gt;")</f>
        <v/>
      </c>
      <c r="Z231" s="42">
        <f>IF(ISBLANK(X231),"",IF(OR(AB231="PASSED",ISBLANK(N231)),"&lt;/b&gt;","&lt;/i&gt;"))</f>
        <v/>
      </c>
      <c r="AA231" s="43">
        <f>IF(AB231="PASSED","&lt;b&gt;","")</f>
        <v/>
      </c>
      <c r="AB231" s="45" t="inlineStr">
        <is>
          <t>INTRODUCED</t>
        </is>
      </c>
      <c r="AC231" s="43">
        <f>IF(AB231="PASSED","&lt;/b&gt;","")</f>
        <v/>
      </c>
      <c r="AD231" s="43">
        <f>IF(ISBLANK(AE231),"","&lt;b&gt;")</f>
        <v/>
      </c>
      <c r="AE231" s="51" t="inlineStr">
        <is>
          <t>02/13</t>
        </is>
      </c>
      <c r="AF231" s="42">
        <f>IF(ISBLANK(AE231),"",": ")</f>
        <v/>
      </c>
      <c r="AG231" s="42" t="inlineStr">
        <is>
          <t>FY27 reduction (-5%)</t>
        </is>
      </c>
      <c r="AH231" s="42">
        <f>IF(ISBLANK(AE231),"","&lt;/b&gt;")</f>
        <v/>
      </c>
      <c r="AI231" s="42" t="n"/>
      <c r="AJ231" s="42">
        <f>IF(ISBLANK(AI231),"","&lt;br&gt;"&amp;AI231)</f>
        <v/>
      </c>
      <c r="AK231" s="4" t="inlineStr">
        <is>
          <t>&lt;br&gt;</t>
        </is>
      </c>
      <c r="AL231" s="42" t="inlineStr">
        <is>
          <t>&lt;b&gt;&lt;i&gt;</t>
        </is>
      </c>
      <c r="AM231" s="42" t="inlineStr">
        <is>
          <t>Governor's 3% + JFAC's 2%</t>
        </is>
      </c>
      <c r="AN231" s="42">
        <f>IF(ISBLANK(AM231),"","&lt;/i&gt;")</f>
        <v/>
      </c>
      <c r="AO231" s="35">
        <f>IF(ISBLANK(AQ231),"","&lt;/b&gt;&lt;br&gt;&lt;br&gt;")</f>
        <v/>
      </c>
      <c r="AP231" s="42">
        <f>IF(ISBLANK(AQ231),"","&lt;b&gt;")</f>
        <v/>
      </c>
      <c r="AQ231" s="47" t="inlineStr">
        <is>
          <t xml:space="preserve">Agency Reduction Plan:&lt;br&gt;Additional </t>
        </is>
      </c>
      <c r="AR231" s="42" t="n">
        <v>2</v>
      </c>
      <c r="AS231" s="4">
        <f>IF(ISBLANK(AR231),""," %")</f>
        <v/>
      </c>
      <c r="AT231" s="4">
        <f t="array" ref="AT231">_xlfn.IFS(NOT(ISBLANK(AU231))," (pgs. ",NOT(ISBLANK(AS231))," (pg. ", ISBLANK(AS231), "")</f>
        <v/>
      </c>
      <c r="AU231" s="52" t="n">
        <v>4</v>
      </c>
      <c r="AV231" s="4">
        <f>IF(ISBLANK(AW231),"",", ")</f>
        <v/>
      </c>
      <c r="AW231" s="42" t="n"/>
      <c r="AX231" s="4">
        <f>IF(ISBLANK(AY231),"",",&lt;br&gt;")</f>
        <v/>
      </c>
      <c r="AY231" s="42" t="n"/>
      <c r="AZ231" s="49">
        <f>IF(ISBLANK(AU231),"",")&lt;/b&gt;")</f>
        <v/>
      </c>
      <c r="BA231" s="4">
        <f>IF(ISBLANK(BC231),"","&lt;br&gt;")</f>
        <v/>
      </c>
      <c r="BB231" s="42">
        <f t="array" ref="BB231">IF(ISBLANK(BC231),"",_xlfn.LET(
_xlpm.words,_xlfn.TEXTSPLIT(TRIM(BC231),"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31" s="50" t="inlineStr">
        <is>
          <t>Delayed ongoing searches for critical Research and Extension Faculty and three Endowed Faculty positions... These positions are state priorities in support of Potato variety development, Nutrient management, Meat and Food Science industries.</t>
        </is>
      </c>
    </row>
    <row r="232">
      <c r="A232" s="20">
        <f>_xlfn.TEXTJOIN("", TRUE, F232:H232)</f>
        <v/>
      </c>
      <c r="B232" s="21">
        <f>_xlfn.TEXTJOIN("", TRUE, I232:S232)</f>
        <v/>
      </c>
      <c r="C232" s="21">
        <f>IF(ISBLANK(X232),"", _xlfn.TEXTJOIN("",TRUE,T232:Z232))</f>
        <v/>
      </c>
      <c r="D232" s="21">
        <f>IF(ISBLANK(AB232), "", _xlfn.TEXTJOIN("", TRUE, AA232:AC232))</f>
        <v/>
      </c>
      <c r="E232" s="22">
        <f>IF(AU232="NA", _xlfn.TEXTJOIN("", TRUE, AD232:AH232), _xlfn.TEXTJOIN("", TRUE, AD232:AJ232))</f>
        <v/>
      </c>
      <c r="F232" s="42">
        <f>IF(LEFT(G232,4)="FY26","&lt;b&gt;","&lt;i&gt;")</f>
        <v/>
      </c>
      <c r="G232" s="42" t="inlineStr">
        <is>
          <t>FY27 Maintenance</t>
        </is>
      </c>
      <c r="H232" s="42">
        <f>IF(LEFT(G232,4)="FY26","&lt;/b&gt;","&lt;/i&gt;")</f>
        <v/>
      </c>
      <c r="I232" s="43" t="inlineStr">
        <is>
          <t>&lt;i&gt;</t>
        </is>
      </c>
      <c r="J232" s="44" t="inlineStr">
        <is>
          <t>State Board of Education</t>
        </is>
      </c>
      <c r="K232" s="44" t="inlineStr">
        <is>
          <t>&lt;/i&gt;</t>
        </is>
      </c>
      <c r="L232" s="4">
        <f>IF(ISBLANK(N232),"","&lt;br&gt;")</f>
        <v/>
      </c>
      <c r="M232" s="42">
        <f>IF(ISBLANK(R232),"&lt;b&gt;","&lt;i&gt;")</f>
        <v/>
      </c>
      <c r="N232" s="42" t="inlineStr">
        <is>
          <t>Career Technical Education</t>
        </is>
      </c>
      <c r="O232" s="42">
        <f>IF(ISBLANK(R232),"&lt;/b&gt;","&lt;/i&gt;")</f>
        <v/>
      </c>
      <c r="P232" s="4">
        <f>IF(ISBLANK(R232),"","&lt;br&gt;")</f>
        <v/>
      </c>
      <c r="Q232" s="42">
        <f>IF(ISBLANK(R232),"","&lt;b&gt;")</f>
        <v/>
      </c>
      <c r="R232" s="42" t="n"/>
      <c r="S232" s="42">
        <f>IF(ISBLANK(R232),"","&lt;/i&gt;")</f>
        <v/>
      </c>
      <c r="T232" s="43">
        <f>IF(ISBLANK(X232),"",IF(OR(AB232="PASSED",ISBLANK(N232)),"&lt;b&gt;","&lt;i&gt;"))</f>
        <v/>
      </c>
      <c r="U232" s="3">
        <f>IF(ISBLANK(V232),"","&lt;a href='")</f>
        <v/>
      </c>
      <c r="V232" s="13" t="inlineStr">
        <is>
          <t>https://legislature.idaho.gov/sessioninfo/rs/</t>
        </is>
      </c>
      <c r="W232" s="17">
        <f>IF(ISBLANK(V232),"","'&gt;")</f>
        <v/>
      </c>
      <c r="X232" s="12" t="inlineStr">
        <is>
          <t>State Board of Education</t>
        </is>
      </c>
      <c r="Y232" s="17">
        <f>IF(ISBLANK(X232),"","&lt;/a&gt;")</f>
        <v/>
      </c>
      <c r="Z232" s="42">
        <f>IF(ISBLANK(X232),"",IF(OR(AB232="PASSED",ISBLANK(N232)),"&lt;/b&gt;","&lt;/i&gt;"))</f>
        <v/>
      </c>
      <c r="AA232" s="43">
        <f>IF(AB232="PASSED","&lt;b&gt;","")</f>
        <v/>
      </c>
      <c r="AB232" s="45" t="inlineStr">
        <is>
          <t>INTRODUCED</t>
        </is>
      </c>
      <c r="AC232" s="43">
        <f>IF(AB232="PASSED","&lt;/b&gt;","")</f>
        <v/>
      </c>
      <c r="AD232" s="43">
        <f>IF(ISBLANK(AE232),"","&lt;b&gt;")</f>
        <v/>
      </c>
      <c r="AE232" s="51" t="inlineStr">
        <is>
          <t>02/13</t>
        </is>
      </c>
      <c r="AF232" s="42">
        <f>IF(ISBLANK(AE232),"",": ")</f>
        <v/>
      </c>
      <c r="AG232" s="42" t="inlineStr">
        <is>
          <t>FY27 reduction (-5%)</t>
        </is>
      </c>
      <c r="AH232" s="42">
        <f>IF(ISBLANK(AE232),"","&lt;/b&gt;")</f>
        <v/>
      </c>
      <c r="AI232" s="42" t="n"/>
      <c r="AJ232" s="42">
        <f>IF(ISBLANK(AI232),"","&lt;br&gt;"&amp;AI232)</f>
        <v/>
      </c>
      <c r="AK232" s="4" t="inlineStr">
        <is>
          <t>&lt;br&gt;</t>
        </is>
      </c>
      <c r="AL232" s="42" t="inlineStr">
        <is>
          <t>&lt;b&gt;&lt;i&gt;</t>
        </is>
      </c>
      <c r="AM232" s="42" t="inlineStr">
        <is>
          <t>Governor's 3% + JFAC's 2%</t>
        </is>
      </c>
      <c r="AN232" s="42">
        <f>IF(ISBLANK(AM232),"","&lt;/i&gt;")</f>
        <v/>
      </c>
      <c r="AO232" s="35">
        <f>IF(ISBLANK(AQ232),"","&lt;/b&gt;&lt;br&gt;&lt;br&gt;")</f>
        <v/>
      </c>
      <c r="AP232" s="42">
        <f>IF(ISBLANK(AQ232),"","&lt;b&gt;")</f>
        <v/>
      </c>
      <c r="AQ232" s="47" t="inlineStr">
        <is>
          <t xml:space="preserve">Agency Reduction Plan:&lt;br&gt;Additional </t>
        </is>
      </c>
      <c r="AR232" s="42" t="n">
        <v>2</v>
      </c>
      <c r="AS232" s="4">
        <f>IF(ISBLANK(AR232),""," %")</f>
        <v/>
      </c>
      <c r="AT232" s="4">
        <f t="array" ref="AT232">_xlfn.IFS(NOT(ISBLANK(AU232))," (pgs. ",NOT(ISBLANK(AS232))," (pg. ", ISBLANK(AS232), "")</f>
        <v/>
      </c>
      <c r="AU232" s="52" t="n">
        <v>57</v>
      </c>
      <c r="AV232" s="4">
        <f>IF(ISBLANK(AW232),"",", ")</f>
        <v/>
      </c>
      <c r="AW232" s="42" t="n"/>
      <c r="AX232" s="4">
        <f>IF(ISBLANK(AY232),"",",&lt;br&gt;")</f>
        <v/>
      </c>
      <c r="AY232" s="42" t="n"/>
      <c r="AZ232" s="49">
        <f>IF(ISBLANK(AU232),"",")&lt;/b&gt;")</f>
        <v/>
      </c>
      <c r="BA232" s="4">
        <f>IF(ISBLANK(BC232),"","&lt;br&gt;")</f>
        <v/>
      </c>
      <c r="BB232" s="42">
        <f t="array" ref="BB232">IF(ISBLANK(BC232),"",_xlfn.LET(
_xlpm.words,_xlfn.TEXTSPLIT(TRIM(BC232),"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32" s="50" t="inlineStr">
        <is>
          <t>Secondary Investment: Reduction in secondary CTE funding. CTE Educator Preparation and Support: Elimination of two FTP, downgrading of director position, and reduction of related rural teacher mentoring/support activities, including additional operation costs dedicated to classroom visits. Postsecondary Programs: Reduction in postsecondary program enhancements.</t>
        </is>
      </c>
    </row>
    <row r="233">
      <c r="A233" s="20">
        <f>_xlfn.TEXTJOIN("", TRUE, F233:H233)</f>
        <v/>
      </c>
      <c r="B233" s="21">
        <f>_xlfn.TEXTJOIN("", TRUE, I233:S233)</f>
        <v/>
      </c>
      <c r="C233" s="21">
        <f>IF(ISBLANK(X233),"", _xlfn.TEXTJOIN("",TRUE,T233:Z233))</f>
        <v/>
      </c>
      <c r="D233" s="21">
        <f>IF(ISBLANK(AB233), "", _xlfn.TEXTJOIN("", TRUE, AA233:AC233))</f>
        <v/>
      </c>
      <c r="E233" s="22">
        <f>IF(AU233="NA", _xlfn.TEXTJOIN("", TRUE, AD233:AH233), _xlfn.TEXTJOIN("", TRUE, AD233:AJ233))</f>
        <v/>
      </c>
      <c r="F233" s="42">
        <f>IF(LEFT(G233,4)="FY26","&lt;b&gt;","&lt;i&gt;")</f>
        <v/>
      </c>
      <c r="G233" s="42" t="inlineStr">
        <is>
          <t>FY27 Maintenance</t>
        </is>
      </c>
      <c r="H233" s="42">
        <f>IF(LEFT(G233,4)="FY26","&lt;/b&gt;","&lt;/i&gt;")</f>
        <v/>
      </c>
      <c r="I233" s="43" t="inlineStr">
        <is>
          <t>&lt;i&gt;</t>
        </is>
      </c>
      <c r="J233" s="44" t="inlineStr">
        <is>
          <t>State Board of Education</t>
        </is>
      </c>
      <c r="K233" s="44" t="inlineStr">
        <is>
          <t>&lt;/i&gt;</t>
        </is>
      </c>
      <c r="L233" s="4">
        <f>IF(ISBLANK(N233),"","&lt;br&gt;")</f>
        <v/>
      </c>
      <c r="M233" s="42">
        <f>IF(ISBLANK(R233),"&lt;b&gt;","&lt;i&gt;")</f>
        <v/>
      </c>
      <c r="N233" s="42" t="inlineStr">
        <is>
          <t>Charter School Comm.</t>
        </is>
      </c>
      <c r="O233" s="42">
        <f>IF(ISBLANK(R233),"&lt;/b&gt;","&lt;/i&gt;")</f>
        <v/>
      </c>
      <c r="P233" s="4">
        <f>IF(ISBLANK(R233),"","&lt;br&gt;")</f>
        <v/>
      </c>
      <c r="Q233" s="42">
        <f>IF(ISBLANK(R233),"","&lt;b&gt;")</f>
        <v/>
      </c>
      <c r="R233" s="42" t="n"/>
      <c r="S233" s="42">
        <f>IF(ISBLANK(R233),"","&lt;/i&gt;")</f>
        <v/>
      </c>
      <c r="T233" s="43">
        <f>IF(ISBLANK(X233),"",IF(OR(AB233="PASSED",ISBLANK(N233)),"&lt;b&gt;","&lt;i&gt;"))</f>
        <v/>
      </c>
      <c r="U233" s="3">
        <f>IF(ISBLANK(V233),"","&lt;a href='")</f>
        <v/>
      </c>
      <c r="V233" s="13" t="inlineStr">
        <is>
          <t>https://legislature.idaho.gov/sessioninfo/rs/</t>
        </is>
      </c>
      <c r="W233" s="17">
        <f>IF(ISBLANK(V233),"","'&gt;")</f>
        <v/>
      </c>
      <c r="X233" s="12" t="inlineStr">
        <is>
          <t>State Board of Education</t>
        </is>
      </c>
      <c r="Y233" s="17">
        <f>IF(ISBLANK(X233),"","&lt;/a&gt;")</f>
        <v/>
      </c>
      <c r="Z233" s="42">
        <f>IF(ISBLANK(X233),"",IF(OR(AB233="PASSED",ISBLANK(N233)),"&lt;/b&gt;","&lt;/i&gt;"))</f>
        <v/>
      </c>
      <c r="AA233" s="43">
        <f>IF(AB233="PASSED","&lt;b&gt;","")</f>
        <v/>
      </c>
      <c r="AB233" s="45" t="inlineStr">
        <is>
          <t>INTRODUCED</t>
        </is>
      </c>
      <c r="AC233" s="43">
        <f>IF(AB233="PASSED","&lt;/b&gt;","")</f>
        <v/>
      </c>
      <c r="AD233" s="43">
        <f>IF(ISBLANK(AE233),"","&lt;b&gt;")</f>
        <v/>
      </c>
      <c r="AE233" s="51" t="inlineStr">
        <is>
          <t>02/13</t>
        </is>
      </c>
      <c r="AF233" s="42">
        <f>IF(ISBLANK(AE233),"",": ")</f>
        <v/>
      </c>
      <c r="AG233" s="42" t="inlineStr">
        <is>
          <t>FY27 reduction (-5%)</t>
        </is>
      </c>
      <c r="AH233" s="42">
        <f>IF(ISBLANK(AE233),"","&lt;/b&gt;")</f>
        <v/>
      </c>
      <c r="AI233" s="42" t="n"/>
      <c r="AJ233" s="42">
        <f>IF(ISBLANK(AI233),"","&lt;br&gt;"&amp;AI233)</f>
        <v/>
      </c>
      <c r="AK233" s="4" t="inlineStr">
        <is>
          <t>&lt;br&gt;</t>
        </is>
      </c>
      <c r="AL233" s="42" t="inlineStr">
        <is>
          <t>&lt;b&gt;&lt;i&gt;</t>
        </is>
      </c>
      <c r="AM233" s="42" t="inlineStr">
        <is>
          <t>Governor's 3% + JFAC's 2%</t>
        </is>
      </c>
      <c r="AN233" s="42">
        <f>IF(ISBLANK(AM233),"","&lt;/i&gt;")</f>
        <v/>
      </c>
      <c r="AO233" s="35">
        <f>IF(ISBLANK(AQ233),"","&lt;/b&gt;&lt;br&gt;&lt;br&gt;")</f>
        <v/>
      </c>
      <c r="AP233" s="42">
        <f>IF(ISBLANK(AQ233),"","&lt;b&gt;")</f>
        <v/>
      </c>
      <c r="AQ233" s="47" t="inlineStr">
        <is>
          <t xml:space="preserve">Agency Reduction Plan:&lt;br&gt;Additional </t>
        </is>
      </c>
      <c r="AR233" s="42" t="n">
        <v>2</v>
      </c>
      <c r="AS233" s="4">
        <f>IF(ISBLANK(AR233),""," %")</f>
        <v/>
      </c>
      <c r="AT233" s="4">
        <f t="array" ref="AT233">_xlfn.IFS(NOT(ISBLANK(AU233))," (pgs. ",NOT(ISBLANK(AS233))," (pg. ", ISBLANK(AS233), "")</f>
        <v/>
      </c>
      <c r="AU233" s="52" t="n">
        <v>82</v>
      </c>
      <c r="AV233" s="4">
        <f>IF(ISBLANK(AW233),"",", ")</f>
        <v/>
      </c>
      <c r="AW233" s="42" t="n"/>
      <c r="AX233" s="4">
        <f>IF(ISBLANK(AY233),"",",&lt;br&gt;")</f>
        <v/>
      </c>
      <c r="AY233" s="42" t="n"/>
      <c r="AZ233" s="49">
        <f>IF(ISBLANK(AU233),"",")&lt;/b&gt;")</f>
        <v/>
      </c>
      <c r="BA233" s="4">
        <f>IF(ISBLANK(BC233),"","&lt;br&gt;")</f>
        <v/>
      </c>
      <c r="BB233" s="42">
        <f t="array" ref="BB233">IF(ISBLANK(BC233),"",_xlfn.LET(
_xlpm.words,_xlfn.TEXTSPLIT(TRIM(BC233),"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33" s="50" t="inlineStr">
        <is>
          <t>The proposed reduction will be absorbed within the Travel category based on year-to-date expenditure trends, which indicate travel spending is currently below projected levels for this point in the fiscal year. While travel costs are inherently variable and difficult to predict, the current spending position provides an opportunity to meet the required reduction. This adjustment will place additional constraints on operational flexibility and will require careful management for the remainder of the fiscal year. As a result, the Commission will significantly limit travel and apply heightened scrutiny to all travel requests, prioritizing only those that are essential to statutory oversight and compliance functions. Greater reliance on virtual meetings and remote engagement will be necessary to maintain operations, which prevents in-person activities to allow the Commission to continue fulfilling its responsibilities within the revised budget.</t>
        </is>
      </c>
    </row>
    <row r="234">
      <c r="A234" s="20">
        <f>_xlfn.TEXTJOIN("", TRUE, F234:H234)</f>
        <v/>
      </c>
      <c r="B234" s="21">
        <f>_xlfn.TEXTJOIN("", TRUE, I234:S234)</f>
        <v/>
      </c>
      <c r="C234" s="21">
        <f>IF(ISBLANK(X234),"", _xlfn.TEXTJOIN("",TRUE,T234:Z234))</f>
        <v/>
      </c>
      <c r="D234" s="21">
        <f>IF(ISBLANK(AB234), "", _xlfn.TEXTJOIN("", TRUE, AA234:AC234))</f>
        <v/>
      </c>
      <c r="E234" s="22">
        <f>IF(AU234="NA", _xlfn.TEXTJOIN("", TRUE, AD234:AH234), _xlfn.TEXTJOIN("", TRUE, AD234:AJ234))</f>
        <v/>
      </c>
      <c r="F234" s="42">
        <f>IF(LEFT(G234,4)="FY26","&lt;b&gt;","&lt;i&gt;")</f>
        <v/>
      </c>
      <c r="G234" s="42" t="inlineStr">
        <is>
          <t>FY27 Maintenance</t>
        </is>
      </c>
      <c r="H234" s="42">
        <f>IF(LEFT(G234,4)="FY26","&lt;/b&gt;","&lt;/i&gt;")</f>
        <v/>
      </c>
      <c r="I234" s="43" t="inlineStr">
        <is>
          <t>&lt;i&gt;</t>
        </is>
      </c>
      <c r="J234" s="44" t="inlineStr">
        <is>
          <t>State Board of Education</t>
        </is>
      </c>
      <c r="K234" s="44" t="inlineStr">
        <is>
          <t>&lt;/i&gt;</t>
        </is>
      </c>
      <c r="L234" s="4">
        <f>IF(ISBLANK(N234),"","&lt;br&gt;")</f>
        <v/>
      </c>
      <c r="M234" s="42">
        <f>IF(ISBLANK(R234),"&lt;b&gt;","&lt;i&gt;")</f>
        <v/>
      </c>
      <c r="N234" s="42" t="inlineStr">
        <is>
          <t>College &amp; Universities</t>
        </is>
      </c>
      <c r="O234" s="42">
        <f>IF(ISBLANK(R234),"&lt;/b&gt;","&lt;/i&gt;")</f>
        <v/>
      </c>
      <c r="P234" s="4">
        <f>IF(ISBLANK(R234),"","&lt;br&gt;")</f>
        <v/>
      </c>
      <c r="Q234" s="42">
        <f>IF(ISBLANK(R234),"","&lt;b&gt;")</f>
        <v/>
      </c>
      <c r="R234" s="42" t="n"/>
      <c r="S234" s="42">
        <f>IF(ISBLANK(R234),"","&lt;/i&gt;")</f>
        <v/>
      </c>
      <c r="T234" s="43">
        <f>IF(ISBLANK(X234),"",IF(OR(AB234="PASSED",ISBLANK(N234)),"&lt;b&gt;","&lt;i&gt;"))</f>
        <v/>
      </c>
      <c r="U234" s="3">
        <f>IF(ISBLANK(V234),"","&lt;a href='")</f>
        <v/>
      </c>
      <c r="V234" s="13" t="inlineStr">
        <is>
          <t>https://legislature.idaho.gov/sessioninfo/rs/</t>
        </is>
      </c>
      <c r="W234" s="17">
        <f>IF(ISBLANK(V234),"","'&gt;")</f>
        <v/>
      </c>
      <c r="X234" s="12" t="inlineStr">
        <is>
          <t>State Board of Education</t>
        </is>
      </c>
      <c r="Y234" s="17">
        <f>IF(ISBLANK(X234),"","&lt;/a&gt;")</f>
        <v/>
      </c>
      <c r="Z234" s="42">
        <f>IF(ISBLANK(X234),"",IF(OR(AB234="PASSED",ISBLANK(N234)),"&lt;/b&gt;","&lt;/i&gt;"))</f>
        <v/>
      </c>
      <c r="AA234" s="43">
        <f>IF(AB234="PASSED","&lt;b&gt;","")</f>
        <v/>
      </c>
      <c r="AB234" s="45" t="inlineStr">
        <is>
          <t>INTRODUCED</t>
        </is>
      </c>
      <c r="AC234" s="43">
        <f>IF(AB234="PASSED","&lt;/b&gt;","")</f>
        <v/>
      </c>
      <c r="AD234" s="43">
        <f>IF(ISBLANK(AE234),"","&lt;b&gt;")</f>
        <v/>
      </c>
      <c r="AE234" s="51" t="inlineStr">
        <is>
          <t>02/13</t>
        </is>
      </c>
      <c r="AF234" s="42">
        <f>IF(ISBLANK(AE234),"",": ")</f>
        <v/>
      </c>
      <c r="AG234" s="42" t="inlineStr">
        <is>
          <t>FY27 reduction (-5%)</t>
        </is>
      </c>
      <c r="AH234" s="42">
        <f>IF(ISBLANK(AE234),"","&lt;/b&gt;")</f>
        <v/>
      </c>
      <c r="AI234" s="42" t="n"/>
      <c r="AJ234" s="42">
        <f>IF(ISBLANK(AI234),"","&lt;br&gt;"&amp;AI234)</f>
        <v/>
      </c>
      <c r="AK234" s="4" t="inlineStr">
        <is>
          <t>&lt;br&gt;</t>
        </is>
      </c>
      <c r="AL234" s="42" t="inlineStr">
        <is>
          <t>&lt;b&gt;&lt;i&gt;</t>
        </is>
      </c>
      <c r="AM234" s="42" t="inlineStr">
        <is>
          <t>Governor's 3% + JFAC's 2%</t>
        </is>
      </c>
      <c r="AN234" s="42">
        <f>IF(ISBLANK(AM234),"","&lt;/i&gt;")</f>
        <v/>
      </c>
      <c r="AO234" s="35">
        <f>IF(ISBLANK(AQ234),"","&lt;/b&gt;&lt;br&gt;&lt;br&gt;")</f>
        <v/>
      </c>
      <c r="AP234" s="42">
        <f>IF(ISBLANK(AQ234),"","&lt;b&gt;")</f>
        <v/>
      </c>
      <c r="AQ234" s="47" t="inlineStr">
        <is>
          <t xml:space="preserve">Agency Reduction Plan:&lt;br&gt;Additional </t>
        </is>
      </c>
      <c r="AR234" s="42" t="n">
        <v>2</v>
      </c>
      <c r="AS234" s="4">
        <f>IF(ISBLANK(AR234),""," %")</f>
        <v/>
      </c>
      <c r="AT234" s="4">
        <f t="array" ref="AT234">_xlfn.IFS(NOT(ISBLANK(AU234))," (pgs. ",NOT(ISBLANK(AS234))," (pg. ", ISBLANK(AS234), "")</f>
        <v/>
      </c>
      <c r="AU234" s="52" t="n">
        <v>5</v>
      </c>
      <c r="AV234" s="4">
        <f>IF(ISBLANK(AW234),"",", ")</f>
        <v/>
      </c>
      <c r="AW234" s="53" t="n">
        <v>6</v>
      </c>
      <c r="AX234" s="4">
        <f>IF(ISBLANK(AY234),"",",&lt;br&gt;")</f>
        <v/>
      </c>
      <c r="AY234" s="53" t="inlineStr">
        <is>
          <t>10, 12, 14</t>
        </is>
      </c>
      <c r="AZ234" s="49">
        <f>IF(ISBLANK(AU234),"",")&lt;/b&gt;")</f>
        <v/>
      </c>
      <c r="BA234" s="4">
        <f>IF(ISBLANK(BC234),"","&lt;br&gt;")</f>
        <v/>
      </c>
      <c r="BB234" s="42">
        <f t="array" ref="BB234">IF(ISBLANK(BC234),"",_xlfn.LET(
_xlpm.words,_xlfn.TEXTSPLIT(TRIM(BC234),"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34" s="50" t="inlineStr">
        <is>
          <t>&lt;b&gt;Boise State University:&lt;/b&gt; Academic Affairs, Student Affairs, and Research: This reduction will delay planned AV projects in classrooms nearing the end of life. This will delay the upgrades by at least two years, pending future funding, and equipment failure could render the space unusable for teaching. Institutional Administration: Boise State will reduce planned website software purchases, as well as other software purchases. Without this software, the university will be unable to ensure accurate, timely information is posted and that student recruitment efforts are supported.&lt;b&gt;Idaho State University&lt;/b&gt;: Mandatory Furlough Program for contracted employees. This impacts all programs and services across the University. This will impact all contracted employees earning more than $60,000 annually through mandatory furlough days and reduction in pay. We will work to minimize program and service disruptions. We will defer some planned capital expenditures on deferred and major maintenance. We will fund IT security and infrastructure operating and capital expenses through onetime sale of spectrum licenses. These resources were initially planned to be used on security and infrastructure enhancements.&lt;b&gt;Lewis-Clark State College&lt;/b&gt;: These are HERC funds received from OSBE that will need to be returned for FY2026. Funding supports library resources and undergraduate STEM research opportunities. LC State has one-time salary savings generated during FY2026 due to multiple mid-year retirements, but these funds will not be available in FY2027.&lt;b&gt;University of Idaho&lt;/b&gt;: Newer academic programs that are not yet fully operational will experience disproportionate impacts, including mining and other emerging offerings. Student-to-faculty ratios will increase as staffing reductions constrain instructional capacity. Student services will be reduced, affecting advising, academic support, retention-related functions, and persistence towards degree completion. The university absorbed substantial reductions in prior years to right-size operations, significantly limiting remaining capacity to absorb additional ongoing cuts. Budget actions will require staffing reductions, resulting in diminished operational capacity. Replacement of instructional and research equipment will be deferred or foregone, limiting classroom quality, instructional delivery, and research productivity. Undergraduate research opportunities will be reduced, limiting experiential learning and pipeline development for graduate study and the workforce. The university’s ability to fully meet expanding state compliance, reporting, and oversight requirements will be strained, increasing institutional risk and requiring prioritization among mandated functions.</t>
        </is>
      </c>
    </row>
    <row r="235">
      <c r="A235" s="20">
        <f>_xlfn.TEXTJOIN("", TRUE, F235:H235)</f>
        <v/>
      </c>
      <c r="B235" s="21">
        <f>_xlfn.TEXTJOIN("", TRUE, I235:S235)</f>
        <v/>
      </c>
      <c r="C235" s="21">
        <f>IF(ISBLANK(X235),"", _xlfn.TEXTJOIN("",TRUE,T235:Z235))</f>
        <v/>
      </c>
      <c r="D235" s="21">
        <f>IF(ISBLANK(AB235), "", _xlfn.TEXTJOIN("", TRUE, AA235:AC235))</f>
        <v/>
      </c>
      <c r="E235" s="22">
        <f>IF(AU235="NA", _xlfn.TEXTJOIN("", TRUE, AD235:AH235), _xlfn.TEXTJOIN("", TRUE, AD235:AJ235))</f>
        <v/>
      </c>
      <c r="F235" s="42">
        <f>IF(LEFT(G235,4)="FY26","&lt;b&gt;","&lt;i&gt;")</f>
        <v/>
      </c>
      <c r="G235" s="42" t="inlineStr">
        <is>
          <t>FY27 Maintenance</t>
        </is>
      </c>
      <c r="H235" s="42">
        <f>IF(LEFT(G235,4)="FY26","&lt;/b&gt;","&lt;/i&gt;")</f>
        <v/>
      </c>
      <c r="I235" s="43" t="inlineStr">
        <is>
          <t>&lt;i&gt;</t>
        </is>
      </c>
      <c r="J235" s="44" t="inlineStr">
        <is>
          <t>State Board of Education</t>
        </is>
      </c>
      <c r="K235" s="44" t="inlineStr">
        <is>
          <t>&lt;/i&gt;</t>
        </is>
      </c>
      <c r="L235" s="4">
        <f>IF(ISBLANK(N235),"","&lt;br&gt;")</f>
        <v/>
      </c>
      <c r="M235" s="42">
        <f>IF(ISBLANK(R235),"&lt;b&gt;","&lt;i&gt;")</f>
        <v/>
      </c>
      <c r="N235" s="42" t="inlineStr">
        <is>
          <t>Community Colleges</t>
        </is>
      </c>
      <c r="O235" s="42">
        <f>IF(ISBLANK(R235),"&lt;/b&gt;","&lt;/i&gt;")</f>
        <v/>
      </c>
      <c r="P235" s="4">
        <f>IF(ISBLANK(R235),"","&lt;br&gt;")</f>
        <v/>
      </c>
      <c r="Q235" s="42">
        <f>IF(ISBLANK(R235),"","&lt;b&gt;")</f>
        <v/>
      </c>
      <c r="R235" s="42" t="n"/>
      <c r="S235" s="42">
        <f>IF(ISBLANK(R235),"","&lt;/i&gt;")</f>
        <v/>
      </c>
      <c r="T235" s="43">
        <f>IF(ISBLANK(X235),"",IF(OR(AB235="PASSED",ISBLANK(N235)),"&lt;b&gt;","&lt;i&gt;"))</f>
        <v/>
      </c>
      <c r="U235" s="3">
        <f>IF(ISBLANK(V235),"","&lt;a href='")</f>
        <v/>
      </c>
      <c r="V235" s="13" t="inlineStr">
        <is>
          <t>https://legislature.idaho.gov/sessioninfo/rs/</t>
        </is>
      </c>
      <c r="W235" s="17">
        <f>IF(ISBLANK(V235),"","'&gt;")</f>
        <v/>
      </c>
      <c r="X235" s="12" t="inlineStr">
        <is>
          <t>State Board of Education</t>
        </is>
      </c>
      <c r="Y235" s="17">
        <f>IF(ISBLANK(X235),"","&lt;/a&gt;")</f>
        <v/>
      </c>
      <c r="Z235" s="42">
        <f>IF(ISBLANK(X235),"",IF(OR(AB235="PASSED",ISBLANK(N235)),"&lt;/b&gt;","&lt;/i&gt;"))</f>
        <v/>
      </c>
      <c r="AA235" s="43">
        <f>IF(AB235="PASSED","&lt;b&gt;","")</f>
        <v/>
      </c>
      <c r="AB235" s="45" t="inlineStr">
        <is>
          <t>INTRODUCED</t>
        </is>
      </c>
      <c r="AC235" s="43">
        <f>IF(AB235="PASSED","&lt;/b&gt;","")</f>
        <v/>
      </c>
      <c r="AD235" s="43">
        <f>IF(ISBLANK(AE235),"","&lt;b&gt;")</f>
        <v/>
      </c>
      <c r="AE235" s="51" t="inlineStr">
        <is>
          <t>02/13</t>
        </is>
      </c>
      <c r="AF235" s="42">
        <f>IF(ISBLANK(AE235),"",": ")</f>
        <v/>
      </c>
      <c r="AG235" s="42" t="inlineStr">
        <is>
          <t>FY27 reduction (-5%)</t>
        </is>
      </c>
      <c r="AH235" s="42">
        <f>IF(ISBLANK(AE235),"","&lt;/b&gt;")</f>
        <v/>
      </c>
      <c r="AI235" s="42" t="n"/>
      <c r="AJ235" s="42">
        <f>IF(ISBLANK(AI235),"","&lt;br&gt;"&amp;AI235)</f>
        <v/>
      </c>
      <c r="AK235" s="4" t="inlineStr">
        <is>
          <t>&lt;br&gt;</t>
        </is>
      </c>
      <c r="AL235" s="42" t="inlineStr">
        <is>
          <t>&lt;b&gt;&lt;i&gt;</t>
        </is>
      </c>
      <c r="AM235" s="42" t="inlineStr">
        <is>
          <t>Governor's 3% + JFAC's 2%</t>
        </is>
      </c>
      <c r="AN235" s="42">
        <f>IF(ISBLANK(AM235),"","&lt;/i&gt;")</f>
        <v/>
      </c>
      <c r="AO235" s="35">
        <f>IF(ISBLANK(AQ235),"","&lt;/b&gt;&lt;br&gt;&lt;br&gt;")</f>
        <v/>
      </c>
      <c r="AP235" s="42">
        <f>IF(ISBLANK(AQ235),"","&lt;b&gt;")</f>
        <v/>
      </c>
      <c r="AQ235" s="47" t="inlineStr">
        <is>
          <t xml:space="preserve">Agency Reduction Plan:&lt;br&gt;Additional </t>
        </is>
      </c>
      <c r="AR235" s="42" t="n">
        <v>2</v>
      </c>
      <c r="AS235" s="4">
        <f>IF(ISBLANK(AR235),""," %")</f>
        <v/>
      </c>
      <c r="AT235" s="4">
        <f t="array" ref="AT235">_xlfn.IFS(NOT(ISBLANK(AU235))," (pgs. ",NOT(ISBLANK(AS235))," (pg. ", ISBLANK(AS235), "")</f>
        <v/>
      </c>
      <c r="AU235" s="52" t="n">
        <v>16</v>
      </c>
      <c r="AV235" s="4">
        <f>IF(ISBLANK(AW235),"",", ")</f>
        <v/>
      </c>
      <c r="AW235" s="53" t="n">
        <v>18</v>
      </c>
      <c r="AX235" s="4">
        <f>IF(ISBLANK(AY235),"",",&lt;br&gt;")</f>
        <v/>
      </c>
      <c r="AY235" s="53" t="inlineStr">
        <is>
          <t>20, 22</t>
        </is>
      </c>
      <c r="AZ235" s="49">
        <f>IF(ISBLANK(AU235),"",")&lt;/b&gt;")</f>
        <v/>
      </c>
      <c r="BA235" s="4">
        <f>IF(ISBLANK(BC235),"","&lt;br&gt;")</f>
        <v/>
      </c>
      <c r="BB235" s="42">
        <f t="array" ref="BB235">IF(ISBLANK(BC235),"",_xlfn.LET(
_xlpm.words,_xlfn.TEXTSPLIT(TRIM(BC235),"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35" s="50" t="inlineStr">
        <is>
          <t>&lt;b&gt;College of Eastern Idaho&lt;/b&gt;: Hiring freezes and position eliminations: Additional 1–2% reductions require freezing most vacant positions and eliminating 7 critical roles in instruction, student support, and student life—resulting in fewer course offerings, reduced student access, and delayed completion. Elimination of a mental health counselor with direct impact on student well being. Cutting a well established E-Sports team, which was a male recruitment tool (1 full time and 2 part time employees) and a very competitive team. Elimination of an administrative position in the trades division, which in turn shifts work to already overworked faculty. Elimination of a leadership position, shifting work to already overworked leadership team, risking employee burnout and painful attrition. Program contraction with long-term consequences: Continued reductions force contraction of high-demand academic programs, weakening CEI’s ability to meet regional workforce needs and ultimately increasing costs to the state through longer time-to-completion, unmet employer demand, and lost economic growth. Three programs we will contract: Licensed Practical Nurse (reduce cohort entry by half), Energy Systems (pause the AAS degree and reduce to an ITC (reduce by one faculty), contract Dental Assist (reduce by a half time faculty). All of these are high demand programs in our community.  &lt;b&gt;College of Southern Idaho&lt;/b&gt;: The loss of a faculty position in a key area of general education (communication) will create fewer scheduling options for students resulting in less flexibility and an additional barrier to completion across all programs of study. Ongoing budget reductions are significantly limiting CSI's ability to maintain the level of outreach and engagement required to support student access, recruitment, and retention across the region. Reduced funding will require us to scale back travel to local high schools and community partners, limit the number of outreach and enrollment events we can offer, and curtail essential supplies and advertising efforts that help students and families understand their educational options and navigate the enrollment process. These cutbacks will diminish CSI's visibility in the community, slow our recruitment pipeline for enrollment, and weaken the College’s capacity to connect Idaho students with the programs that support both their success and the state’s workforce needs. Furthermore, losing an additional percentage of operational monies at CSI will continue to have a direct negative impact on students by reducing key supply budgets in the instructional areas of biology, chemistry, and nursing (among others). Students may be asked to absorb some of those costs in order to successfully complete their programs of study. &lt;b&gt;College of Western Idaho&lt;/b&gt;: Freeze and/or eliminate open positions, delay new programs. Reduce operating expenditures, delay or slow projects and initiatives. &lt;b&gt;North Idaho College&lt;/b&gt;: This results in the non-rehiring of an assistant coach for athletics. The reduction will impact the success, retention and completion of our student athletes. This is the curtailment of travel and professional development for the duration of the fiscal year which includes, but is not limited to the reduction of the number of athletes who can travel with a team, reduced recruiting efforts, inability for staff and faculty to continue to meet accreditation requirements. This would result in a hiring freeze of all level 2 and level 3 employees. The inability to hire necessary staff and faculty will compromise the success of our students which directly impacts our retention and completion rates. Without proper support and appropriately qualified instruction, the student educational experience suffers and the institution's ability to meet its mission is it risk.</t>
        </is>
      </c>
    </row>
    <row r="236">
      <c r="A236" s="20">
        <f>_xlfn.TEXTJOIN("", TRUE, F236:H236)</f>
        <v/>
      </c>
      <c r="B236" s="21">
        <f>_xlfn.TEXTJOIN("", TRUE, I236:S236)</f>
        <v/>
      </c>
      <c r="C236" s="21">
        <f>IF(ISBLANK(X236),"", _xlfn.TEXTJOIN("",TRUE,T236:Z236))</f>
        <v/>
      </c>
      <c r="D236" s="21">
        <f>IF(ISBLANK(AB236), "", _xlfn.TEXTJOIN("", TRUE, AA236:AC236))</f>
        <v/>
      </c>
      <c r="E236" s="22">
        <f>IF(AU236="NA", _xlfn.TEXTJOIN("", TRUE, AD236:AH236), _xlfn.TEXTJOIN("", TRUE, AD236:AJ236))</f>
        <v/>
      </c>
      <c r="F236" s="42">
        <f>IF(LEFT(G236,4)="FY26","&lt;b&gt;","&lt;i&gt;")</f>
        <v/>
      </c>
      <c r="G236" s="42" t="inlineStr">
        <is>
          <t>FY27 Maintenance</t>
        </is>
      </c>
      <c r="H236" s="42">
        <f>IF(LEFT(G236,4)="FY26","&lt;/b&gt;","&lt;/i&gt;")</f>
        <v/>
      </c>
      <c r="I236" s="43" t="inlineStr">
        <is>
          <t>&lt;i&gt;</t>
        </is>
      </c>
      <c r="J236" s="44" t="inlineStr">
        <is>
          <t>State Board of Education</t>
        </is>
      </c>
      <c r="K236" s="44" t="inlineStr">
        <is>
          <t>&lt;/i&gt;</t>
        </is>
      </c>
      <c r="L236" s="4">
        <f>IF(ISBLANK(N236),"","&lt;br&gt;")</f>
        <v/>
      </c>
      <c r="M236" s="42">
        <f>IF(ISBLANK(R236),"&lt;b&gt;","&lt;i&gt;")</f>
        <v/>
      </c>
      <c r="N236" s="42" t="inlineStr">
        <is>
          <t>Dept. of Education</t>
        </is>
      </c>
      <c r="O236" s="42">
        <f>IF(ISBLANK(R236),"&lt;/b&gt;","&lt;/i&gt;")</f>
        <v/>
      </c>
      <c r="P236" s="4">
        <f>IF(ISBLANK(R236),"","&lt;br&gt;")</f>
        <v/>
      </c>
      <c r="Q236" s="42">
        <f>IF(ISBLANK(R236),"","&lt;b&gt;")</f>
        <v/>
      </c>
      <c r="R236" s="42" t="n"/>
      <c r="S236" s="42">
        <f>IF(ISBLANK(R236),"","&lt;/i&gt;")</f>
        <v/>
      </c>
      <c r="T236" s="43">
        <f>IF(ISBLANK(X236),"",IF(OR(AB236="PASSED",ISBLANK(N236)),"&lt;b&gt;","&lt;i&gt;"))</f>
        <v/>
      </c>
      <c r="U236" s="3">
        <f>IF(ISBLANK(V236),"","&lt;a href='")</f>
        <v/>
      </c>
      <c r="V236" s="13" t="inlineStr">
        <is>
          <t>https://legislature.idaho.gov/sessioninfo/rs/</t>
        </is>
      </c>
      <c r="W236" s="17">
        <f>IF(ISBLANK(V236),"","'&gt;")</f>
        <v/>
      </c>
      <c r="X236" s="12" t="inlineStr">
        <is>
          <t>State Board of Education</t>
        </is>
      </c>
      <c r="Y236" s="17">
        <f>IF(ISBLANK(X236),"","&lt;/a&gt;")</f>
        <v/>
      </c>
      <c r="Z236" s="42">
        <f>IF(ISBLANK(X236),"",IF(OR(AB236="PASSED",ISBLANK(N236)),"&lt;/b&gt;","&lt;/i&gt;"))</f>
        <v/>
      </c>
      <c r="AA236" s="43">
        <f>IF(AB236="PASSED","&lt;b&gt;","")</f>
        <v/>
      </c>
      <c r="AB236" s="45" t="inlineStr">
        <is>
          <t>INTRODUCED</t>
        </is>
      </c>
      <c r="AC236" s="43">
        <f>IF(AB236="PASSED","&lt;/b&gt;","")</f>
        <v/>
      </c>
      <c r="AD236" s="43">
        <f>IF(ISBLANK(AE236),"","&lt;b&gt;")</f>
        <v/>
      </c>
      <c r="AE236" s="51" t="inlineStr">
        <is>
          <t>02/13</t>
        </is>
      </c>
      <c r="AF236" s="42">
        <f>IF(ISBLANK(AE236),"",": ")</f>
        <v/>
      </c>
      <c r="AG236" s="42" t="inlineStr">
        <is>
          <t>FY27 reduction (-5%)</t>
        </is>
      </c>
      <c r="AH236" s="42">
        <f>IF(ISBLANK(AE236),"","&lt;/b&gt;")</f>
        <v/>
      </c>
      <c r="AI236" s="42" t="n"/>
      <c r="AJ236" s="42">
        <f>IF(ISBLANK(AI236),"","&lt;br&gt;"&amp;AI236)</f>
        <v/>
      </c>
      <c r="AK236" s="4" t="inlineStr">
        <is>
          <t>&lt;br&gt;</t>
        </is>
      </c>
      <c r="AL236" s="42" t="inlineStr">
        <is>
          <t>&lt;b&gt;&lt;i&gt;</t>
        </is>
      </c>
      <c r="AM236" s="42" t="inlineStr">
        <is>
          <t>Governor's 3% + JFAC's 2%</t>
        </is>
      </c>
      <c r="AN236" s="42">
        <f>IF(ISBLANK(AM236),"","&lt;/i&gt;")</f>
        <v/>
      </c>
      <c r="AO236" s="35">
        <f>IF(ISBLANK(AQ236),"","&lt;/b&gt;&lt;br&gt;&lt;br&gt;")</f>
        <v/>
      </c>
      <c r="AP236" s="42">
        <f>IF(ISBLANK(AQ236),"","&lt;b&gt;")</f>
        <v/>
      </c>
      <c r="AQ236" s="47" t="inlineStr">
        <is>
          <t xml:space="preserve">Agency Reduction Plan:&lt;br&gt;Additional </t>
        </is>
      </c>
      <c r="AR236" s="42" t="n">
        <v>2</v>
      </c>
      <c r="AS236" s="4">
        <f>IF(ISBLANK(AR236),""," %")</f>
        <v/>
      </c>
      <c r="AT236" s="4">
        <f t="array" ref="AT236">_xlfn.IFS(NOT(ISBLANK(AU236))," (pgs. ",NOT(ISBLANK(AS236))," (pg. ", ISBLANK(AS236), "")</f>
        <v/>
      </c>
      <c r="AU236" s="52" t="n">
        <v>77</v>
      </c>
      <c r="AV236" s="4">
        <f>IF(ISBLANK(AW236),"",", ")</f>
        <v/>
      </c>
      <c r="AW236" s="42" t="n"/>
      <c r="AX236" s="4">
        <f>IF(ISBLANK(AY236),"",",&lt;br&gt;")</f>
        <v/>
      </c>
      <c r="AY236" s="42" t="n"/>
      <c r="AZ236" s="49">
        <f>IF(ISBLANK(AU236),"",")&lt;/b&gt;")</f>
        <v/>
      </c>
      <c r="BA236" s="4">
        <f>IF(ISBLANK(BC236),"","&lt;br&gt;")</f>
        <v/>
      </c>
      <c r="BB236" s="42">
        <f t="array" ref="BB236">IF(ISBLANK(BC236),"",_xlfn.LET(
_xlpm.words,_xlfn.TEXTSPLIT(TRIM(BC236),"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36" s="50" t="inlineStr">
        <is>
          <t>If additional FY 2026 and FY 2027 cuts are necessary, we propose reducing funding for the Advanced Opportunities for Nonpublic School Students program (established in 2021) and eliminating funding for the Local Innovation School Act (established in 2016). These are passthrough funds to schools, and this approach will ensure that the department can continue its work without reducing support to Idaho’s districts and public charter schools.</t>
        </is>
      </c>
    </row>
    <row r="237">
      <c r="A237" s="20">
        <f>_xlfn.TEXTJOIN("", TRUE, F237:H237)</f>
        <v/>
      </c>
      <c r="B237" s="21">
        <f>_xlfn.TEXTJOIN("", TRUE, I237:S237)</f>
        <v/>
      </c>
      <c r="C237" s="21">
        <f>IF(ISBLANK(X237),"", _xlfn.TEXTJOIN("",TRUE,T237:Z237))</f>
        <v/>
      </c>
      <c r="D237" s="21">
        <f>IF(ISBLANK(AB237), "", _xlfn.TEXTJOIN("", TRUE, AA237:AC237))</f>
        <v/>
      </c>
      <c r="E237" s="22">
        <f>IF(AU237="NA", _xlfn.TEXTJOIN("", TRUE, AD237:AH237), _xlfn.TEXTJOIN("", TRUE, AD237:AJ237))</f>
        <v/>
      </c>
      <c r="F237" s="42">
        <f>IF(LEFT(G237,4)="FY26","&lt;b&gt;","&lt;i&gt;")</f>
        <v/>
      </c>
      <c r="G237" s="42" t="inlineStr">
        <is>
          <t>FY27 Maintenance</t>
        </is>
      </c>
      <c r="H237" s="42">
        <f>IF(LEFT(G237,4)="FY26","&lt;/b&gt;","&lt;/i&gt;")</f>
        <v/>
      </c>
      <c r="I237" s="43" t="inlineStr">
        <is>
          <t>&lt;i&gt;</t>
        </is>
      </c>
      <c r="J237" s="44" t="inlineStr">
        <is>
          <t>State Board of Education</t>
        </is>
      </c>
      <c r="K237" s="44" t="inlineStr">
        <is>
          <t>&lt;/i&gt;</t>
        </is>
      </c>
      <c r="L237" s="4">
        <f>IF(ISBLANK(N237),"","&lt;br&gt;")</f>
        <v/>
      </c>
      <c r="M237" s="42">
        <f>IF(ISBLANK(R237),"&lt;b&gt;","&lt;i&gt;")</f>
        <v/>
      </c>
      <c r="N237" s="42" t="inlineStr">
        <is>
          <t>Health Education Programs</t>
        </is>
      </c>
      <c r="O237" s="42">
        <f>IF(ISBLANK(R237),"&lt;/b&gt;","&lt;/i&gt;")</f>
        <v/>
      </c>
      <c r="P237" s="4">
        <f>IF(ISBLANK(R237),"","&lt;br&gt;")</f>
        <v/>
      </c>
      <c r="Q237" s="42">
        <f>IF(ISBLANK(R237),"","&lt;b&gt;")</f>
        <v/>
      </c>
      <c r="R237" s="42" t="n"/>
      <c r="S237" s="42">
        <f>IF(ISBLANK(R237),"","&lt;/i&gt;")</f>
        <v/>
      </c>
      <c r="T237" s="43">
        <f>IF(ISBLANK(X237),"",IF(OR(AB237="PASSED",ISBLANK(N237)),"&lt;b&gt;","&lt;i&gt;"))</f>
        <v/>
      </c>
      <c r="U237" s="3">
        <f>IF(ISBLANK(V237),"","&lt;a href='")</f>
        <v/>
      </c>
      <c r="V237" s="13" t="inlineStr">
        <is>
          <t>https://legislature.idaho.gov/sessioninfo/rs/</t>
        </is>
      </c>
      <c r="W237" s="17">
        <f>IF(ISBLANK(V237),"","'&gt;")</f>
        <v/>
      </c>
      <c r="X237" s="12" t="inlineStr">
        <is>
          <t>State Board of Education</t>
        </is>
      </c>
      <c r="Y237" s="17">
        <f>IF(ISBLANK(X237),"","&lt;/a&gt;")</f>
        <v/>
      </c>
      <c r="Z237" s="42">
        <f>IF(ISBLANK(X237),"",IF(OR(AB237="PASSED",ISBLANK(N237)),"&lt;/b&gt;","&lt;/i&gt;"))</f>
        <v/>
      </c>
      <c r="AA237" s="43">
        <f>IF(AB237="PASSED","&lt;b&gt;","")</f>
        <v/>
      </c>
      <c r="AB237" s="45" t="inlineStr">
        <is>
          <t>INTRODUCED</t>
        </is>
      </c>
      <c r="AC237" s="43">
        <f>IF(AB237="PASSED","&lt;/b&gt;","")</f>
        <v/>
      </c>
      <c r="AD237" s="43">
        <f>IF(ISBLANK(AE237),"","&lt;b&gt;")</f>
        <v/>
      </c>
      <c r="AE237" s="51" t="inlineStr">
        <is>
          <t>02/13</t>
        </is>
      </c>
      <c r="AF237" s="42">
        <f>IF(ISBLANK(AE237),"",": ")</f>
        <v/>
      </c>
      <c r="AG237" s="42" t="inlineStr">
        <is>
          <t>FY27 reduction (-5%)</t>
        </is>
      </c>
      <c r="AH237" s="42">
        <f>IF(ISBLANK(AE237),"","&lt;/b&gt;")</f>
        <v/>
      </c>
      <c r="AI237" s="42" t="n"/>
      <c r="AJ237" s="42">
        <f>IF(ISBLANK(AI237),"","&lt;br&gt;"&amp;AI237)</f>
        <v/>
      </c>
      <c r="AK237" s="4" t="inlineStr">
        <is>
          <t>&lt;br&gt;</t>
        </is>
      </c>
      <c r="AL237" s="42" t="inlineStr">
        <is>
          <t>&lt;b&gt;&lt;i&gt;</t>
        </is>
      </c>
      <c r="AM237" s="42" t="inlineStr">
        <is>
          <t>Governor's 3% + JFAC's 2%</t>
        </is>
      </c>
      <c r="AN237" s="42">
        <f>IF(ISBLANK(AM237),"","&lt;/i&gt;")</f>
        <v/>
      </c>
      <c r="AO237" s="35">
        <f>IF(ISBLANK(AQ237),"","&lt;/b&gt;&lt;br&gt;&lt;br&gt;")</f>
        <v/>
      </c>
      <c r="AP237" s="42">
        <f>IF(ISBLANK(AQ237),"","&lt;b&gt;")</f>
        <v/>
      </c>
      <c r="AQ237" s="47" t="inlineStr">
        <is>
          <t xml:space="preserve">Agency Reduction Plan:&lt;br&gt;Additional </t>
        </is>
      </c>
      <c r="AR237" s="42" t="n">
        <v>2</v>
      </c>
      <c r="AS237" s="4">
        <f>IF(ISBLANK(AR237),""," %")</f>
        <v/>
      </c>
      <c r="AT237" s="4">
        <f t="array" ref="AT237">_xlfn.IFS(NOT(ISBLANK(AU237))," (pgs. ",NOT(ISBLANK(AS237))," (pg. ", ISBLANK(AS237), "")</f>
        <v/>
      </c>
      <c r="AU237" s="52" t="n">
        <v>29</v>
      </c>
      <c r="AV237" s="4">
        <f>IF(ISBLANK(AW237),"",", ")</f>
        <v/>
      </c>
      <c r="AW237" s="53" t="n">
        <v>38</v>
      </c>
      <c r="AX237" s="4">
        <f>IF(ISBLANK(AY237),"",",&lt;br&gt;")</f>
        <v/>
      </c>
      <c r="AY237" s="53" t="inlineStr">
        <is>
          <t>45, 51</t>
        </is>
      </c>
      <c r="AZ237" s="49">
        <f>IF(ISBLANK(AU237),"",")&lt;/b&gt;")</f>
        <v/>
      </c>
      <c r="BA237" s="4">
        <f>IF(ISBLANK(BC237),"","&lt;br&gt;")</f>
        <v/>
      </c>
      <c r="BB237" s="42">
        <f t="array" ref="BB237">IF(ISBLANK(BC237),"",_xlfn.LET(
_xlpm.words,_xlfn.TEXTSPLIT(TRIM(BC237),"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37" s="50" t="inlineStr">
        <is>
          <t>The effects of further cuts to the FY27 budget are as follows: Residency training programs have already entered into the selection process for FY27’s resident physicians, which begins about a year in advance of these resident physicians arriving in Idaho. Our programs have contractual obligations to these new residents through the National Residency Matching Program, and faculty contracts are in place. These contracts cannot be adjusted. Additional reductions in the GME budget will halt the development of the Family Medicine-Obstetrics Fellowship in Pocatello (originally planned to start in July 2027) as required by HB 333 (2025). There will be no fellow in 2027. The FY27 enhancement for 15 new GME positions are for new programs currently building out to full program size and have not yet reached full complement. By funding these programs in prior years, the state has already committed to the development of these programs. This investment must be protected. Planning for desperately needed specialty programs such as Obstetrics and Gynecology, General Surgery, Neurology, and additional Internal Medicine, Family Medicine and Transitional Year programs will cease, and these programs will not be developed. The Idaho Dental Education Program (IDEP) has no clinic income or other revenue stream to offset budget cuts. 100% of IDEP's Trustee Benefits go directly to Creighton University to cover the contractual cost per student. Additional cuts- after years of negotiations to increase class sizes may jeopardize the relationship with Creighton, a critical and reliable partner in Idaho dental education. WIMU - In addition to scaling back veterinary teaching at our animal units, support for the laboratory components of required Animal Science courses will also be reduced or eliminated, further constraining capacity for both teaching and research activities. WWAMI - A 2% budget reduction in addition to the current 3% cut would necessitate downsizing and reallocation of the faculty workforce, as personnel costs comprise the majority of medical education expenditures. Reduced faculty capacity would directly impair learner supervision, curriculum delivery, assessment activities, and especially clinical preparation. Further attrition will permanently compound workforce challenges as labor is in short supply. The academic positions primarily affected are joint faculty appointments who also teach within the College of Science, creating a cascading financial impact on that college as well. Specifically, we would be forced to eliminate part-time faculty positions; additionally this could also negatively impact our ability to hire the physician faculty required to prepare students clinically. Searches for 3 unfilled physician faculty position are currently ongoing. Thus, an additional 2% reduction would create a significant instructional gap as we would no longer have required expertise in critical disciplines such as microbiology, cell physiology, and clinical skills. These areas of instruction are essential to meeting Liaison Committee on Medical Education (LCME) accreditation requirements. These reductions will significantly limit instructional capacity, impair ability to meet accreditation standards, increase compliance risk, and impair the quality and consistency of the student educational experience.</t>
        </is>
      </c>
    </row>
    <row r="238">
      <c r="A238" s="20">
        <f>_xlfn.TEXTJOIN("", TRUE, F238:H238)</f>
        <v/>
      </c>
      <c r="B238" s="21">
        <f>_xlfn.TEXTJOIN("", TRUE, I238:S238)</f>
        <v/>
      </c>
      <c r="C238" s="21">
        <f>IF(ISBLANK(X238),"", _xlfn.TEXTJOIN("",TRUE,T238:Z238))</f>
        <v/>
      </c>
      <c r="D238" s="21">
        <f>IF(ISBLANK(AB238), "", _xlfn.TEXTJOIN("", TRUE, AA238:AC238))</f>
        <v/>
      </c>
      <c r="E238" s="22">
        <f>IF(AU238="NA", _xlfn.TEXTJOIN("", TRUE, AD238:AH238), _xlfn.TEXTJOIN("", TRUE, AD238:AJ238))</f>
        <v/>
      </c>
      <c r="F238" s="42">
        <f>IF(LEFT(G238,4)="FY26","&lt;b&gt;","&lt;i&gt;")</f>
        <v/>
      </c>
      <c r="G238" s="42" t="inlineStr">
        <is>
          <t>FY27 Maintenance</t>
        </is>
      </c>
      <c r="H238" s="42">
        <f>IF(LEFT(G238,4)="FY26","&lt;/b&gt;","&lt;/i&gt;")</f>
        <v/>
      </c>
      <c r="I238" s="43" t="inlineStr">
        <is>
          <t>&lt;i&gt;</t>
        </is>
      </c>
      <c r="J238" s="44" t="inlineStr">
        <is>
          <t>State Board of Education</t>
        </is>
      </c>
      <c r="K238" s="44" t="inlineStr">
        <is>
          <t>&lt;/i&gt;</t>
        </is>
      </c>
      <c r="L238" s="4">
        <f>IF(ISBLANK(N238),"","&lt;br&gt;")</f>
        <v/>
      </c>
      <c r="M238" s="42">
        <f>IF(ISBLANK(R238),"&lt;b&gt;","&lt;i&gt;")</f>
        <v/>
      </c>
      <c r="N238" s="42" t="inlineStr">
        <is>
          <t>Idaho Public Television</t>
        </is>
      </c>
      <c r="O238" s="42">
        <f>IF(ISBLANK(R238),"&lt;/b&gt;","&lt;/i&gt;")</f>
        <v/>
      </c>
      <c r="P238" s="4">
        <f>IF(ISBLANK(R238),"","&lt;br&gt;")</f>
        <v/>
      </c>
      <c r="Q238" s="42">
        <f>IF(ISBLANK(R238),"","&lt;b&gt;")</f>
        <v/>
      </c>
      <c r="R238" s="42" t="n"/>
      <c r="S238" s="42">
        <f>IF(ISBLANK(R238),"","&lt;/i&gt;")</f>
        <v/>
      </c>
      <c r="T238" s="43">
        <f>IF(ISBLANK(X238),"",IF(OR(AB238="PASSED",ISBLANK(N238)),"&lt;b&gt;","&lt;i&gt;"))</f>
        <v/>
      </c>
      <c r="U238" s="3">
        <f>IF(ISBLANK(V238),"","&lt;a href='")</f>
        <v/>
      </c>
      <c r="V238" s="13" t="inlineStr">
        <is>
          <t>https://legislature.idaho.gov/sessioninfo/rs/</t>
        </is>
      </c>
      <c r="W238" s="17">
        <f>IF(ISBLANK(V238),"","'&gt;")</f>
        <v/>
      </c>
      <c r="X238" s="12" t="inlineStr">
        <is>
          <t>State Board of Education</t>
        </is>
      </c>
      <c r="Y238" s="17">
        <f>IF(ISBLANK(X238),"","&lt;/a&gt;")</f>
        <v/>
      </c>
      <c r="Z238" s="42">
        <f>IF(ISBLANK(X238),"",IF(OR(AB238="PASSED",ISBLANK(N238)),"&lt;/b&gt;","&lt;/i&gt;"))</f>
        <v/>
      </c>
      <c r="AA238" s="43">
        <f>IF(AB238="PASSED","&lt;b&gt;","")</f>
        <v/>
      </c>
      <c r="AB238" s="45" t="inlineStr">
        <is>
          <t>INTRODUCED</t>
        </is>
      </c>
      <c r="AC238" s="43">
        <f>IF(AB238="PASSED","&lt;/b&gt;","")</f>
        <v/>
      </c>
      <c r="AD238" s="43">
        <f>IF(ISBLANK(AE238),"","&lt;b&gt;")</f>
        <v/>
      </c>
      <c r="AE238" s="51" t="inlineStr">
        <is>
          <t>02/13</t>
        </is>
      </c>
      <c r="AF238" s="42">
        <f>IF(ISBLANK(AE238),"",": ")</f>
        <v/>
      </c>
      <c r="AG238" s="42" t="inlineStr">
        <is>
          <t>FY27 reduction (-5%)</t>
        </is>
      </c>
      <c r="AH238" s="42">
        <f>IF(ISBLANK(AE238),"","&lt;/b&gt;")</f>
        <v/>
      </c>
      <c r="AI238" s="42" t="n"/>
      <c r="AJ238" s="42">
        <f>IF(ISBLANK(AI238),"","&lt;br&gt;"&amp;AI238)</f>
        <v/>
      </c>
      <c r="AK238" s="4" t="inlineStr">
        <is>
          <t>&lt;br&gt;</t>
        </is>
      </c>
      <c r="AL238" s="42" t="inlineStr">
        <is>
          <t>&lt;b&gt;&lt;i&gt;</t>
        </is>
      </c>
      <c r="AM238" s="42" t="inlineStr">
        <is>
          <t>Governor's 3% + JFAC's 2%</t>
        </is>
      </c>
      <c r="AN238" s="42">
        <f>IF(ISBLANK(AM238),"","&lt;/i&gt;")</f>
        <v/>
      </c>
      <c r="AO238" s="35">
        <f>IF(ISBLANK(AQ238),"","&lt;/b&gt;&lt;br&gt;&lt;br&gt;")</f>
        <v/>
      </c>
      <c r="AP238" s="42">
        <f>IF(ISBLANK(AQ238),"","&lt;b&gt;")</f>
        <v/>
      </c>
      <c r="AQ238" s="47" t="inlineStr">
        <is>
          <t xml:space="preserve">Agency Reduction Plan:&lt;br&gt;Additional </t>
        </is>
      </c>
      <c r="AR238" s="42" t="n">
        <v>2</v>
      </c>
      <c r="AS238" s="4">
        <f>IF(ISBLANK(AR238),""," %")</f>
        <v/>
      </c>
      <c r="AT238" s="4">
        <f t="array" ref="AT238">_xlfn.IFS(NOT(ISBLANK(AU238))," (pgs. ",NOT(ISBLANK(AS238))," (pg. ", ISBLANK(AS238), "")</f>
        <v/>
      </c>
      <c r="AU238" s="52" t="n">
        <v>64</v>
      </c>
      <c r="AV238" s="4">
        <f>IF(ISBLANK(AW238),"",", ")</f>
        <v/>
      </c>
      <c r="AW238" s="42" t="n"/>
      <c r="AX238" s="4">
        <f>IF(ISBLANK(AY238),"",",&lt;br&gt;")</f>
        <v/>
      </c>
      <c r="AY238" s="42" t="n"/>
      <c r="AZ238" s="49">
        <f>IF(ISBLANK(AU238),"",")&lt;/b&gt;")</f>
        <v/>
      </c>
      <c r="BA238" s="4">
        <f>IF(ISBLANK(BC238),"","&lt;br&gt;")</f>
        <v/>
      </c>
      <c r="BB238" s="42">
        <f t="array" ref="BB238">IF(ISBLANK(BC238),"",_xlfn.LET(
_xlpm.words,_xlfn.TEXTSPLIT(TRIM(BC238),"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38" s="50" t="inlineStr">
        <is>
          <t>Any reductions to General Fund support may weaken IPTV’s ability to maintain our network operations center and the infrastructure that sits atop many mountains throughout Idaho. Cuts reduce monitoring, delay replacement of aging equipment, increase outage risk, and diminish emergency alert reliability. While Friends of Idaho Public Television may occasionally augment the purchase equipment, the agency relies on General Fund dollars to replace capital assets because they support the entire state. While IPTV can cope with these cuts for a limited amount of time, our 10-year capital replacement plan continues to be pushed out further which will lead to failures in the system. A specific example is our system of 46 translators (low power transmitters) which rebroadcast our high-power transmitter signals into rural areas. The manufacturer of these translators is no longer in business or supporting the equipment. A grant IPTV applied for from FEMA to fund the purchase of this equipment was cancelled. These translators are $20,000 to $30,000 each. Our plan is to tackle them based on priority based upon our budget.</t>
        </is>
      </c>
    </row>
    <row r="239">
      <c r="A239" s="20">
        <f>_xlfn.TEXTJOIN("", TRUE, F239:H239)</f>
        <v/>
      </c>
      <c r="B239" s="21">
        <f>_xlfn.TEXTJOIN("", TRUE, I239:S239)</f>
        <v/>
      </c>
      <c r="C239" s="21">
        <f>IF(ISBLANK(X239),"", _xlfn.TEXTJOIN("",TRUE,T239:Z239))</f>
        <v/>
      </c>
      <c r="D239" s="21">
        <f>IF(ISBLANK(AB239), "", _xlfn.TEXTJOIN("", TRUE, AA239:AC239))</f>
        <v/>
      </c>
      <c r="E239" s="22">
        <f>IF(AU239="NA", _xlfn.TEXTJOIN("", TRUE, AD239:AH239), _xlfn.TEXTJOIN("", TRUE, AD239:AJ239))</f>
        <v/>
      </c>
      <c r="F239" s="42">
        <f>IF(LEFT(G239,4)="FY26","&lt;b&gt;","&lt;i&gt;")</f>
        <v/>
      </c>
      <c r="G239" s="42" t="inlineStr">
        <is>
          <t>FY27 Maintenance</t>
        </is>
      </c>
      <c r="H239" s="42">
        <f>IF(LEFT(G239,4)="FY26","&lt;/b&gt;","&lt;/i&gt;")</f>
        <v/>
      </c>
      <c r="I239" s="43" t="inlineStr">
        <is>
          <t>&lt;i&gt;</t>
        </is>
      </c>
      <c r="J239" s="44" t="inlineStr">
        <is>
          <t>State Board of Education</t>
        </is>
      </c>
      <c r="K239" s="44" t="inlineStr">
        <is>
          <t>&lt;/i&gt;</t>
        </is>
      </c>
      <c r="L239" s="4">
        <f>IF(ISBLANK(N239),"","&lt;br&gt;")</f>
        <v/>
      </c>
      <c r="M239" s="42">
        <f>IF(ISBLANK(R239),"&lt;b&gt;","&lt;i&gt;")</f>
        <v/>
      </c>
      <c r="N239" s="42" t="inlineStr">
        <is>
          <t>Office of the State Board of Education</t>
        </is>
      </c>
      <c r="O239" s="42">
        <f>IF(ISBLANK(R239),"&lt;/b&gt;","&lt;/i&gt;")</f>
        <v/>
      </c>
      <c r="P239" s="4">
        <f>IF(ISBLANK(R239),"","&lt;br&gt;")</f>
        <v/>
      </c>
      <c r="Q239" s="42">
        <f>IF(ISBLANK(R239),"","&lt;b&gt;")</f>
        <v/>
      </c>
      <c r="R239" s="42" t="n"/>
      <c r="S239" s="42">
        <f>IF(ISBLANK(R239),"","&lt;/i&gt;")</f>
        <v/>
      </c>
      <c r="T239" s="43">
        <f>IF(ISBLANK(X239),"",IF(OR(AB239="PASSED",ISBLANK(N239)),"&lt;b&gt;","&lt;i&gt;"))</f>
        <v/>
      </c>
      <c r="U239" s="3">
        <f>IF(ISBLANK(V239),"","&lt;a href='")</f>
        <v/>
      </c>
      <c r="V239" s="13" t="inlineStr">
        <is>
          <t>https://legislature.idaho.gov/sessioninfo/rs/</t>
        </is>
      </c>
      <c r="W239" s="17">
        <f>IF(ISBLANK(V239),"","'&gt;")</f>
        <v/>
      </c>
      <c r="X239" s="12" t="inlineStr">
        <is>
          <t>State Board of Education</t>
        </is>
      </c>
      <c r="Y239" s="17">
        <f>IF(ISBLANK(X239),"","&lt;/a&gt;")</f>
        <v/>
      </c>
      <c r="Z239" s="42">
        <f>IF(ISBLANK(X239),"",IF(OR(AB239="PASSED",ISBLANK(N239)),"&lt;/b&gt;","&lt;/i&gt;"))</f>
        <v/>
      </c>
      <c r="AA239" s="43">
        <f>IF(AB239="PASSED","&lt;b&gt;","")</f>
        <v/>
      </c>
      <c r="AB239" s="45" t="inlineStr">
        <is>
          <t>INTRODUCED</t>
        </is>
      </c>
      <c r="AC239" s="43">
        <f>IF(AB239="PASSED","&lt;/b&gt;","")</f>
        <v/>
      </c>
      <c r="AD239" s="43">
        <f>IF(ISBLANK(AE239),"","&lt;b&gt;")</f>
        <v/>
      </c>
      <c r="AE239" s="51" t="inlineStr">
        <is>
          <t>02/13</t>
        </is>
      </c>
      <c r="AF239" s="42">
        <f>IF(ISBLANK(AE239),"",": ")</f>
        <v/>
      </c>
      <c r="AG239" s="42" t="inlineStr">
        <is>
          <t>FY27 reduction (-5%)</t>
        </is>
      </c>
      <c r="AH239" s="42">
        <f>IF(ISBLANK(AE239),"","&lt;/b&gt;")</f>
        <v/>
      </c>
      <c r="AI239" s="42" t="n"/>
      <c r="AJ239" s="42">
        <f>IF(ISBLANK(AI239),"","&lt;br&gt;"&amp;AI239)</f>
        <v/>
      </c>
      <c r="AK239" s="4" t="inlineStr">
        <is>
          <t>&lt;br&gt;</t>
        </is>
      </c>
      <c r="AL239" s="42" t="inlineStr">
        <is>
          <t>&lt;b&gt;&lt;i&gt;</t>
        </is>
      </c>
      <c r="AM239" s="42" t="inlineStr">
        <is>
          <t>Governor's 3% + JFAC's 2%</t>
        </is>
      </c>
      <c r="AN239" s="42">
        <f>IF(ISBLANK(AM239),"","&lt;/i&gt;")</f>
        <v/>
      </c>
      <c r="AO239" s="35">
        <f>IF(ISBLANK(AQ239),"","&lt;/b&gt;&lt;br&gt;&lt;br&gt;")</f>
        <v/>
      </c>
      <c r="AP239" s="42">
        <f>IF(ISBLANK(AQ239),"","&lt;b&gt;")</f>
        <v/>
      </c>
      <c r="AQ239" s="47" t="inlineStr">
        <is>
          <t xml:space="preserve">Agency Reduction Plan:&lt;br&gt;Additional </t>
        </is>
      </c>
      <c r="AR239" s="42" t="n">
        <v>2</v>
      </c>
      <c r="AS239" s="4">
        <f>IF(ISBLANK(AR239),""," %")</f>
        <v/>
      </c>
      <c r="AT239" s="4">
        <f t="array" ref="AT239">_xlfn.IFS(NOT(ISBLANK(AU239))," (pgs. ",NOT(ISBLANK(AS239))," (pg. ", ISBLANK(AS239), "")</f>
        <v/>
      </c>
      <c r="AU239" s="52" t="n">
        <v>27</v>
      </c>
      <c r="AV239" s="4">
        <f>IF(ISBLANK(AW239),"",", ")</f>
        <v/>
      </c>
      <c r="AW239" s="42" t="n"/>
      <c r="AX239" s="4">
        <f>IF(ISBLANK(AY239),"",",&lt;br&gt;")</f>
        <v/>
      </c>
      <c r="AY239" s="42" t="n"/>
      <c r="AZ239" s="49">
        <f>IF(ISBLANK(AU239),"",")&lt;/b&gt;")</f>
        <v/>
      </c>
      <c r="BA239" s="4">
        <f>IF(ISBLANK(BC239),"","&lt;br&gt;")</f>
        <v/>
      </c>
      <c r="BB239" s="42">
        <f t="array" ref="BB239">IF(ISBLANK(BC239),"",_xlfn.LET(
_xlpm.words,_xlfn.TEXTSPLIT(TRIM(BC239),"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39" s="50" t="inlineStr">
        <is>
          <t>Broadband - These funds are available FY2026 due to the timing of projects. Funding will continue to be needed in future fiscal years to complete projects. Reversion means these funds will not be available to K-12 school districts for improving internet infrastructure and interconnectivity between schools. Rural and Underserved Educator Incentive Program - These funds are available through both program attrition and collapsing size of future K-12 rural teacher cohorts that would be eligible for grant program. Career Ladder - This reduction represents the cancellation of the 2gnoMe software contract utilized for teacher evaluations at K-12 schools. This will primarily impact rural school districts.</t>
        </is>
      </c>
    </row>
    <row r="240">
      <c r="A240" s="20">
        <f>_xlfn.TEXTJOIN("", TRUE, F240:H240)</f>
        <v/>
      </c>
      <c r="B240" s="21">
        <f>_xlfn.TEXTJOIN("", TRUE, I240:S240)</f>
        <v/>
      </c>
      <c r="C240" s="21">
        <f>IF(ISBLANK(X240),"", _xlfn.TEXTJOIN("",TRUE,T240:Z240))</f>
        <v/>
      </c>
      <c r="D240" s="21">
        <f>IF(ISBLANK(AB240), "", _xlfn.TEXTJOIN("", TRUE, AA240:AC240))</f>
        <v/>
      </c>
      <c r="E240" s="22">
        <f>IF(AU240="NA", _xlfn.TEXTJOIN("", TRUE, AD240:AH240), _xlfn.TEXTJOIN("", TRUE, AD240:AJ240))</f>
        <v/>
      </c>
      <c r="F240" s="42">
        <f>IF(LEFT(G240,4)="FY26","&lt;b&gt;","&lt;i&gt;")</f>
        <v/>
      </c>
      <c r="G240" s="42" t="inlineStr">
        <is>
          <t>FY27 Maintenance</t>
        </is>
      </c>
      <c r="H240" s="42">
        <f>IF(LEFT(G240,4)="FY26","&lt;/b&gt;","&lt;/i&gt;")</f>
        <v/>
      </c>
      <c r="I240" s="43" t="inlineStr">
        <is>
          <t>&lt;i&gt;</t>
        </is>
      </c>
      <c r="J240" s="44" t="inlineStr">
        <is>
          <t>State Board of Education</t>
        </is>
      </c>
      <c r="K240" s="44" t="inlineStr">
        <is>
          <t>&lt;/i&gt;</t>
        </is>
      </c>
      <c r="L240" s="4">
        <f>IF(ISBLANK(N240),"","&lt;br&gt;")</f>
        <v/>
      </c>
      <c r="M240" s="42">
        <f>IF(ISBLANK(R240),"&lt;b&gt;","&lt;i&gt;")</f>
        <v/>
      </c>
      <c r="N240" s="42" t="inlineStr">
        <is>
          <t>Special Programs</t>
        </is>
      </c>
      <c r="O240" s="42">
        <f>IF(ISBLANK(R240),"&lt;/b&gt;","&lt;/i&gt;")</f>
        <v/>
      </c>
      <c r="P240" s="4">
        <f>IF(ISBLANK(R240),"","&lt;br&gt;")</f>
        <v/>
      </c>
      <c r="Q240" s="42">
        <f>IF(ISBLANK(R240),"","&lt;b&gt;")</f>
        <v/>
      </c>
      <c r="R240" s="42" t="n"/>
      <c r="S240" s="42">
        <f>IF(ISBLANK(R240),"","&lt;/i&gt;")</f>
        <v/>
      </c>
      <c r="T240" s="43">
        <f>IF(ISBLANK(X240),"",IF(OR(AB240="PASSED",ISBLANK(N240)),"&lt;b&gt;","&lt;i&gt;"))</f>
        <v/>
      </c>
      <c r="U240" s="3">
        <f>IF(ISBLANK(V240),"","&lt;a href='")</f>
        <v/>
      </c>
      <c r="V240" s="13" t="inlineStr">
        <is>
          <t>https://legislature.idaho.gov/sessioninfo/rs/</t>
        </is>
      </c>
      <c r="W240" s="17">
        <f>IF(ISBLANK(V240),"","'&gt;")</f>
        <v/>
      </c>
      <c r="X240" s="12" t="inlineStr">
        <is>
          <t>State Board of Education</t>
        </is>
      </c>
      <c r="Y240" s="17">
        <f>IF(ISBLANK(X240),"","&lt;/a&gt;")</f>
        <v/>
      </c>
      <c r="Z240" s="42">
        <f>IF(ISBLANK(X240),"",IF(OR(AB240="PASSED",ISBLANK(N240)),"&lt;/b&gt;","&lt;/i&gt;"))</f>
        <v/>
      </c>
      <c r="AA240" s="43">
        <f>IF(AB240="PASSED","&lt;b&gt;","")</f>
        <v/>
      </c>
      <c r="AB240" s="45" t="inlineStr">
        <is>
          <t>INTRODUCED</t>
        </is>
      </c>
      <c r="AC240" s="43">
        <f>IF(AB240="PASSED","&lt;/b&gt;","")</f>
        <v/>
      </c>
      <c r="AD240" s="43">
        <f>IF(ISBLANK(AE240),"","&lt;b&gt;")</f>
        <v/>
      </c>
      <c r="AE240" s="51" t="inlineStr">
        <is>
          <t>02/13</t>
        </is>
      </c>
      <c r="AF240" s="42">
        <f>IF(ISBLANK(AE240),"",": ")</f>
        <v/>
      </c>
      <c r="AG240" s="42" t="inlineStr">
        <is>
          <t>FY27 reduction (-5%)</t>
        </is>
      </c>
      <c r="AH240" s="42">
        <f>IF(ISBLANK(AE240),"","&lt;/b&gt;")</f>
        <v/>
      </c>
      <c r="AI240" s="42" t="n"/>
      <c r="AJ240" s="42">
        <f>IF(ISBLANK(AI240),"","&lt;br&gt;"&amp;AI240)</f>
        <v/>
      </c>
      <c r="AK240" s="4" t="inlineStr">
        <is>
          <t>&lt;br&gt;</t>
        </is>
      </c>
      <c r="AL240" s="42" t="inlineStr">
        <is>
          <t>&lt;b&gt;&lt;i&gt;</t>
        </is>
      </c>
      <c r="AM240" s="42" t="inlineStr">
        <is>
          <t>Governor's 3% + JFAC's 2%</t>
        </is>
      </c>
      <c r="AN240" s="42">
        <f>IF(ISBLANK(AM240),"","&lt;/i&gt;")</f>
        <v/>
      </c>
      <c r="AO240" s="35">
        <f>IF(ISBLANK(AQ240),"","&lt;/b&gt;&lt;br&gt;&lt;br&gt;")</f>
        <v/>
      </c>
      <c r="AP240" s="42">
        <f>IF(ISBLANK(AQ240),"","&lt;b&gt;")</f>
        <v/>
      </c>
      <c r="AQ240" s="47" t="inlineStr">
        <is>
          <t xml:space="preserve">Agency Reduction Plan:&lt;br&gt;Additional </t>
        </is>
      </c>
      <c r="AR240" s="42" t="n">
        <v>2</v>
      </c>
      <c r="AS240" s="4">
        <f>IF(ISBLANK(AR240),""," %")</f>
        <v/>
      </c>
      <c r="AT240" s="4">
        <f t="array" ref="AT240">_xlfn.IFS(NOT(ISBLANK(AU240))," (pgs. ",NOT(ISBLANK(AS240))," (pg. ", ISBLANK(AS240), "")</f>
        <v/>
      </c>
      <c r="AU240" s="52" t="n">
        <v>66</v>
      </c>
      <c r="AV240" s="4">
        <f>IF(ISBLANK(AW240),"",", ")</f>
        <v/>
      </c>
      <c r="AW240" s="53" t="n">
        <v>68</v>
      </c>
      <c r="AX240" s="4">
        <f>IF(ISBLANK(AY240),"",",&lt;br&gt;")</f>
        <v/>
      </c>
      <c r="AY240" s="53" t="inlineStr">
        <is>
          <t>70, 72, 76</t>
        </is>
      </c>
      <c r="AZ240" s="49">
        <f>IF(ISBLANK(AU240),"",")&lt;/b&gt;")</f>
        <v/>
      </c>
      <c r="BA240" s="4">
        <f>IF(ISBLANK(BC240),"","&lt;br&gt;")</f>
        <v/>
      </c>
      <c r="BB240" s="42">
        <f t="array" ref="BB240">IF(ISBLANK(BC240),"",_xlfn.LET(
_xlpm.words,_xlfn.TEXTSPLIT(TRIM(BC240),"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40" s="50" t="inlineStr">
        <is>
          <t>Forest Utilization Research program - All operations and travel will be suspended for the remainder of FY2026 impacting students and external stakeholder support. Idaho Geological Survey - IGS will respond to the proposed reductions by eliminating a full FTE position. Although the reduction is less than one full FTE, the cumulative FY26 and FY27 budget cuts cannot be absorbed through additional efficiency measures or operational reductions, all of which have been exhausted. IGS cannot continue to operate with no remaining operational funds, making staff reorganization unavoidable. These reductions will directly limit IGS’s ability to provide critical subsurface information to Idaho’s mineral and energy industries at a time of increased demand in support of the state’s mineral economy. Idaho Museum of Natural History - This reduction in part time staffing will limit museum programs and services. Small Business Development Center - Reduce work hours for client-facing positions directly lowering impact and growth for Idaho Small Businesses. TechHelp - An additional 1-2% reduction would have a direct impact on the delivery of essential services to Idaho manufacturers. TechHelp operates with a lean, staff-driven cost structure and the majority of funding supports professional personnel who provide one-on- one technical assistance, workforce training and compliance support. Because there is limited discretionary spending, even a modest reduction would reduce service capacity, increase wait times for assistance and limit the number of client engagements we can support.</t>
        </is>
      </c>
    </row>
    <row r="241">
      <c r="A241" s="20">
        <f>_xlfn.TEXTJOIN("", TRUE, F241:H241)</f>
        <v/>
      </c>
      <c r="B241" s="21">
        <f>_xlfn.TEXTJOIN("", TRUE, I241:S241)</f>
        <v/>
      </c>
      <c r="C241" s="21">
        <f>IF(ISBLANK(X241),"", _xlfn.TEXTJOIN("",TRUE,T241:Z241))</f>
        <v/>
      </c>
      <c r="D241" s="21">
        <f>IF(ISBLANK(AB241), "", _xlfn.TEXTJOIN("", TRUE, AA241:AC241))</f>
        <v/>
      </c>
      <c r="E241" s="22">
        <f>IF(AU241="NA", _xlfn.TEXTJOIN("", TRUE, AD241:AH241), _xlfn.TEXTJOIN("", TRUE, AD241:AJ241))</f>
        <v/>
      </c>
      <c r="F241" s="42">
        <f>IF(LEFT(G241,4)="FY26","&lt;b&gt;","&lt;i&gt;")</f>
        <v/>
      </c>
      <c r="G241" s="42" t="inlineStr">
        <is>
          <t>FY27 Maintenance</t>
        </is>
      </c>
      <c r="H241" s="42">
        <f>IF(LEFT(G241,4)="FY26","&lt;/b&gt;","&lt;/i&gt;")</f>
        <v/>
      </c>
      <c r="I241" s="43" t="inlineStr">
        <is>
          <t>&lt;i&gt;</t>
        </is>
      </c>
      <c r="J241" s="44" t="inlineStr">
        <is>
          <t>State Board of Education</t>
        </is>
      </c>
      <c r="K241" s="44" t="inlineStr">
        <is>
          <t>&lt;/i&gt;</t>
        </is>
      </c>
      <c r="L241" s="4">
        <f>IF(ISBLANK(N241),"","&lt;br&gt;")</f>
        <v/>
      </c>
      <c r="M241" s="42">
        <f>IF(ISBLANK(R241),"&lt;b&gt;","&lt;i&gt;")</f>
        <v/>
      </c>
      <c r="N241" s="42" t="inlineStr">
        <is>
          <t>Vocational Rehabilitation</t>
        </is>
      </c>
      <c r="O241" s="42">
        <f>IF(ISBLANK(R241),"&lt;/b&gt;","&lt;/i&gt;")</f>
        <v/>
      </c>
      <c r="P241" s="4">
        <f>IF(ISBLANK(R241),"","&lt;br&gt;")</f>
        <v/>
      </c>
      <c r="Q241" s="42">
        <f>IF(ISBLANK(R241),"","&lt;b&gt;")</f>
        <v/>
      </c>
      <c r="R241" s="42" t="n"/>
      <c r="S241" s="42">
        <f>IF(ISBLANK(R241),"","&lt;/i&gt;")</f>
        <v/>
      </c>
      <c r="T241" s="43">
        <f>IF(ISBLANK(X241),"",IF(OR(AB241="PASSED",ISBLANK(N241)),"&lt;b&gt;","&lt;i&gt;"))</f>
        <v/>
      </c>
      <c r="U241" s="3">
        <f>IF(ISBLANK(V241),"","&lt;a href='")</f>
        <v/>
      </c>
      <c r="V241" s="13" t="inlineStr">
        <is>
          <t>https://legislature.idaho.gov/sessioninfo/rs/</t>
        </is>
      </c>
      <c r="W241" s="17">
        <f>IF(ISBLANK(V241),"","'&gt;")</f>
        <v/>
      </c>
      <c r="X241" s="12" t="inlineStr">
        <is>
          <t>State Board of Education</t>
        </is>
      </c>
      <c r="Y241" s="17">
        <f>IF(ISBLANK(X241),"","&lt;/a&gt;")</f>
        <v/>
      </c>
      <c r="Z241" s="42">
        <f>IF(ISBLANK(X241),"",IF(OR(AB241="PASSED",ISBLANK(N241)),"&lt;/b&gt;","&lt;/i&gt;"))</f>
        <v/>
      </c>
      <c r="AA241" s="43">
        <f>IF(AB241="PASSED","&lt;b&gt;","")</f>
        <v/>
      </c>
      <c r="AB241" s="45" t="inlineStr">
        <is>
          <t>INTRODUCED</t>
        </is>
      </c>
      <c r="AC241" s="43">
        <f>IF(AB241="PASSED","&lt;/b&gt;","")</f>
        <v/>
      </c>
      <c r="AD241" s="43">
        <f>IF(ISBLANK(AE241),"","&lt;b&gt;")</f>
        <v/>
      </c>
      <c r="AE241" s="51" t="inlineStr">
        <is>
          <t>02/13</t>
        </is>
      </c>
      <c r="AF241" s="42">
        <f>IF(ISBLANK(AE241),"",": ")</f>
        <v/>
      </c>
      <c r="AG241" s="42" t="inlineStr">
        <is>
          <t>FY27 reduction (-5%)</t>
        </is>
      </c>
      <c r="AH241" s="42">
        <f>IF(ISBLANK(AE241),"","&lt;/b&gt;")</f>
        <v/>
      </c>
      <c r="AI241" s="42" t="n"/>
      <c r="AJ241" s="42">
        <f>IF(ISBLANK(AI241),"","&lt;br&gt;"&amp;AI241)</f>
        <v/>
      </c>
      <c r="AK241" s="4" t="inlineStr">
        <is>
          <t>&lt;br&gt;</t>
        </is>
      </c>
      <c r="AL241" s="42" t="inlineStr">
        <is>
          <t>&lt;b&gt;&lt;i&gt;</t>
        </is>
      </c>
      <c r="AM241" s="42" t="inlineStr">
        <is>
          <t>Governor's 3% + JFAC's 2%</t>
        </is>
      </c>
      <c r="AN241" s="42">
        <f>IF(ISBLANK(AM241),"","&lt;/i&gt;")</f>
        <v/>
      </c>
      <c r="AO241" s="35">
        <f>IF(ISBLANK(AQ241),"","&lt;/b&gt;&lt;br&gt;&lt;br&gt;")</f>
        <v/>
      </c>
      <c r="AP241" s="42">
        <f>IF(ISBLANK(AQ241),"","&lt;b&gt;")</f>
        <v/>
      </c>
      <c r="AQ241" s="47" t="inlineStr">
        <is>
          <t xml:space="preserve">Agency Reduction Plan:&lt;br&gt;Additional </t>
        </is>
      </c>
      <c r="AR241" s="42" t="n">
        <v>2</v>
      </c>
      <c r="AS241" s="4">
        <f>IF(ISBLANK(AR241),""," %")</f>
        <v/>
      </c>
      <c r="AT241" s="4">
        <f t="array" ref="AT241">_xlfn.IFS(NOT(ISBLANK(AU241))," (pgs. ",NOT(ISBLANK(AS241))," (pg. ", ISBLANK(AS241), "")</f>
        <v/>
      </c>
      <c r="AU241" s="52" t="n">
        <v>80</v>
      </c>
      <c r="AV241" s="4">
        <f>IF(ISBLANK(AW241),"",", ")</f>
        <v/>
      </c>
      <c r="AW241" s="42" t="n"/>
      <c r="AX241" s="4">
        <f>IF(ISBLANK(AY241),"",",&lt;br&gt;")</f>
        <v/>
      </c>
      <c r="AY241" s="42" t="n"/>
      <c r="AZ241" s="49">
        <f>IF(ISBLANK(AU241),"",")&lt;/b&gt;")</f>
        <v/>
      </c>
      <c r="BA241" s="4">
        <f>IF(ISBLANK(BC241),"","&lt;br&gt;")</f>
        <v/>
      </c>
      <c r="BB241" s="42">
        <f t="array" ref="BB241">IF(ISBLANK(BC241),"",_xlfn.LET(
_xlpm.words,_xlfn.TEXTSPLIT(TRIM(BC241),"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41" s="50" t="inlineStr">
        <is>
          <t>A $96,600 reduction will directly decrease the amount of federal matching funds available to the Vocational Rehabilitation program, resulting in a total service reduction of $454.600. This reduction will limit the program’s ability to provide individualized employment services that help individuals enter the workforce and become self-sufficient, tax-paying citizens. As of 12/31/2025, IDVR has a waitlist of 3,483 individuals. The proposed reduction would delay workforce entry for approximately 226 individuals, increasing long-term dependence on public assistance and reducing potential tax revenue. Delay hire one part-time Sign Language Interpreter position - This reduction will impact CDHH’s ability to provide timely accommodations, including for employees. While the reduction covers the required holdback, it raises ADA Title II compliance concerns and is not sustainable long term.</t>
        </is>
      </c>
    </row>
    <row r="242">
      <c r="A242" s="20">
        <f>_xlfn.TEXTJOIN("", TRUE, F242:H242)</f>
        <v/>
      </c>
      <c r="B242" s="21">
        <f>_xlfn.TEXTJOIN("", TRUE, I242:S242)</f>
        <v/>
      </c>
      <c r="C242" s="21">
        <f>IF(ISBLANK(X242),"", _xlfn.TEXTJOIN("",TRUE,T242:Z242))</f>
        <v/>
      </c>
      <c r="D242" s="21">
        <f>IF(ISBLANK(AB242), "", _xlfn.TEXTJOIN("", TRUE, AA242:AC242))</f>
        <v/>
      </c>
      <c r="E242" s="22">
        <f>IF(AU242="NA", _xlfn.TEXTJOIN("", TRUE, AD242:AH242), _xlfn.TEXTJOIN("", TRUE, AD242:AJ242))</f>
        <v/>
      </c>
      <c r="F242" s="42">
        <f>IF(LEFT(G242,4)="FY26","&lt;b&gt;","&lt;i&gt;")</f>
        <v/>
      </c>
      <c r="G242" s="42" t="inlineStr">
        <is>
          <t>FY27 Enhancement</t>
        </is>
      </c>
      <c r="H242" s="42">
        <f>IF(LEFT(G242,4)="FY26","&lt;/b&gt;","&lt;/i&gt;")</f>
        <v/>
      </c>
      <c r="I242" s="43" t="inlineStr">
        <is>
          <t>&lt;i&gt;</t>
        </is>
      </c>
      <c r="J242" s="44" t="inlineStr">
        <is>
          <t>Constitutional Officers</t>
        </is>
      </c>
      <c r="K242" s="44" t="inlineStr">
        <is>
          <t>&lt;/i&gt;</t>
        </is>
      </c>
      <c r="L242" s="4">
        <f>IF(ISBLANK(N242),"","&lt;br&gt;")</f>
        <v/>
      </c>
      <c r="M242" s="42">
        <f>IF(ISBLANK(R242),"&lt;b&gt;","&lt;i&gt;")</f>
        <v/>
      </c>
      <c r="N242" s="42" t="inlineStr">
        <is>
          <t>Secretary of State</t>
        </is>
      </c>
      <c r="O242" s="42">
        <f>IF(ISBLANK(R242),"&lt;/b&gt;","&lt;/i&gt;")</f>
        <v/>
      </c>
      <c r="P242" s="4">
        <f>IF(ISBLANK(R242),"","&lt;br&gt;")</f>
        <v/>
      </c>
      <c r="Q242" s="42">
        <f>IF(ISBLANK(R242),"","&lt;b&gt;")</f>
        <v/>
      </c>
      <c r="R242" s="42" t="n"/>
      <c r="S242" s="42">
        <f>IF(ISBLANK(R242),"","&lt;/i&gt;")</f>
        <v/>
      </c>
      <c r="T242" s="42">
        <f>IF(ISBLANK(X242),"",IF(OR(AB242="PASSED",ISBLANK(N242)),"&lt;b&gt;","&lt;i&gt;"))</f>
        <v/>
      </c>
      <c r="U242" s="3">
        <f>IF(ISBLANK(V242),"","&lt;a href='")</f>
        <v/>
      </c>
      <c r="V242" s="13" t="inlineStr">
        <is>
          <t>https://legislature.idaho.gov/sessioninfo/rs/</t>
        </is>
      </c>
      <c r="W242" s="17">
        <f>IF(ISBLANK(V242),"","'&gt;")</f>
        <v/>
      </c>
      <c r="X242" s="12" t="inlineStr">
        <is>
          <t>Enhancement</t>
        </is>
      </c>
      <c r="Y242" s="17">
        <f>IF(ISBLANK(X242),"","&lt;/a&gt;")</f>
        <v/>
      </c>
      <c r="Z242" s="42">
        <f>IF(ISBLANK(X242),"",IF(OR(AB242="PASSED",ISBLANK(N242)),"&lt;/b&gt;","&lt;/i&gt;"))</f>
        <v/>
      </c>
      <c r="AA242" s="43">
        <f>IF(AB242="PASSED","&lt;b&gt;","")</f>
        <v/>
      </c>
      <c r="AB242" s="45" t="inlineStr">
        <is>
          <t>INTRODUCED</t>
        </is>
      </c>
      <c r="AC242" s="43">
        <f>IF(AB242="PASSED","&lt;/b&gt;","")</f>
        <v/>
      </c>
      <c r="AD242" s="43">
        <f>IF(ISBLANK(AE242),"","&lt;b&gt;")</f>
        <v/>
      </c>
      <c r="AE242" s="46" t="inlineStr">
        <is>
          <t>03/10</t>
        </is>
      </c>
      <c r="AF242" s="42">
        <f>IF(ISBLANK(AE242),"",": ")</f>
        <v/>
      </c>
      <c r="AG242" s="42" t="inlineStr">
        <is>
          <t>JFAC Budget Setting</t>
        </is>
      </c>
      <c r="AH242" s="42">
        <f>IF(ISBLANK(AE242),"","&lt;/b&gt;")</f>
        <v/>
      </c>
      <c r="AI242" s="42" t="inlineStr">
        <is>
          <t>02/19: JFAC Budget Hearing</t>
        </is>
      </c>
      <c r="AJ242" s="42">
        <f>IF(ISBLANK(AI242),"","&lt;br&gt;"&amp;AI242)</f>
        <v/>
      </c>
      <c r="AK242" s="42" t="n"/>
      <c r="AL242" s="42" t="n"/>
      <c r="AM242" s="42" t="n"/>
      <c r="AN242" s="42">
        <f>IF(ISBLANK(AM242),"","&lt;/i&gt;")</f>
        <v/>
      </c>
      <c r="AO242" s="35">
        <f>IF(ISBLANK(AQ242),"","&lt;/b&gt;&lt;br&gt;&lt;br&gt;")</f>
        <v/>
      </c>
      <c r="AP242" s="42">
        <f>IF(ISBLANK(AQ242),"","&lt;b&gt;")</f>
        <v/>
      </c>
      <c r="AQ242" s="42" t="n"/>
      <c r="AR242" s="4" t="n"/>
      <c r="AS242" s="4">
        <f>IF(ISBLANK(AR242),""," %")</f>
        <v/>
      </c>
      <c r="AT242" s="4">
        <f t="array" ref="AT242">_xlfn.IFS(NOT(ISBLANK(AU242))," (pgs. ",NOT(ISBLANK(AS242))," (pg. ", ISBLANK(AS242), "")</f>
        <v/>
      </c>
      <c r="AU242" s="42" t="n"/>
      <c r="AV242" s="4">
        <f>IF(ISBLANK(AW242),"",", ")</f>
        <v/>
      </c>
      <c r="AW242" s="42" t="n"/>
      <c r="AX242" s="4">
        <f>IF(ISBLANK(AY242),"",",&lt;br&gt;")</f>
        <v/>
      </c>
      <c r="AY242" s="42" t="n"/>
      <c r="AZ242" s="49">
        <f>IF(ISBLANK(AU242),"",")&lt;/b&gt;")</f>
        <v/>
      </c>
      <c r="BA242" s="4">
        <f>IF(ISBLANK(BC242),"","&lt;br&gt;")</f>
        <v/>
      </c>
      <c r="BB242" s="42">
        <f t="array" ref="BB242">IF(ISBLANK(BC242),"",_xlfn.LET(
_xlpm.words,_xlfn.TEXTSPLIT(TRIM(BC242),"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42" s="50" t="n"/>
    </row>
    <row r="243">
      <c r="A243" s="20">
        <f>_xlfn.TEXTJOIN("", TRUE, F243:H243)</f>
        <v/>
      </c>
      <c r="B243" s="21">
        <f>_xlfn.TEXTJOIN("", TRUE, I243:S243)</f>
        <v/>
      </c>
      <c r="C243" s="21">
        <f>IF(ISBLANK(X243),"", _xlfn.TEXTJOIN("",TRUE,T243:Z243))</f>
        <v/>
      </c>
      <c r="D243" s="21">
        <f>IF(ISBLANK(AB243), "", _xlfn.TEXTJOIN("", TRUE, AA243:AC243))</f>
        <v/>
      </c>
      <c r="E243" s="22">
        <f>IF(AU243="NA", _xlfn.TEXTJOIN("", TRUE, AD243:AH243), _xlfn.TEXTJOIN("", TRUE, AD243:AJ243))</f>
        <v/>
      </c>
      <c r="F243" s="42">
        <f>IF(LEFT(G243,4)="FY26","&lt;b&gt;","&lt;i&gt;")</f>
        <v/>
      </c>
      <c r="G243" s="42" t="inlineStr">
        <is>
          <t>FY27 Enhancement</t>
        </is>
      </c>
      <c r="H243" s="42">
        <f>IF(LEFT(G243,4)="FY26","&lt;/b&gt;","&lt;/i&gt;")</f>
        <v/>
      </c>
      <c r="I243" s="43" t="inlineStr">
        <is>
          <t>&lt;i&gt;</t>
        </is>
      </c>
      <c r="J243" s="44" t="inlineStr">
        <is>
          <t>Economic Development</t>
        </is>
      </c>
      <c r="K243" s="44" t="inlineStr">
        <is>
          <t>&lt;/i&gt;</t>
        </is>
      </c>
      <c r="L243" s="4">
        <f>IF(ISBLANK(N243),"","&lt;br&gt;")</f>
        <v/>
      </c>
      <c r="M243" s="42">
        <f>IF(ISBLANK(R243),"&lt;b&gt;","&lt;i&gt;")</f>
        <v/>
      </c>
      <c r="N243" s="42" t="inlineStr">
        <is>
          <t>Dept. of Agriculture</t>
        </is>
      </c>
      <c r="O243" s="42">
        <f>IF(ISBLANK(R243),"&lt;/b&gt;","&lt;/i&gt;")</f>
        <v/>
      </c>
      <c r="P243" s="4">
        <f>IF(ISBLANK(R243),"","&lt;br&gt;")</f>
        <v/>
      </c>
      <c r="Q243" s="42">
        <f>IF(ISBLANK(R243),"","&lt;b&gt;")</f>
        <v/>
      </c>
      <c r="R243" s="42" t="n"/>
      <c r="S243" s="42">
        <f>IF(ISBLANK(R243),"","&lt;/i&gt;")</f>
        <v/>
      </c>
      <c r="T243" s="42">
        <f>IF(ISBLANK(X243),"",IF(OR(AB243="PASSED",ISBLANK(N243)),"&lt;b&gt;","&lt;i&gt;"))</f>
        <v/>
      </c>
      <c r="U243" s="3">
        <f>IF(ISBLANK(V243),"","&lt;a href='")</f>
        <v/>
      </c>
      <c r="V243" s="13" t="inlineStr">
        <is>
          <t>https://legislature.idaho.gov/sessioninfo/rs/</t>
        </is>
      </c>
      <c r="W243" s="17">
        <f>IF(ISBLANK(V243),"","'&gt;")</f>
        <v/>
      </c>
      <c r="X243" s="12" t="inlineStr">
        <is>
          <t>Enhancement</t>
        </is>
      </c>
      <c r="Y243" s="17">
        <f>IF(ISBLANK(X243),"","&lt;/a&gt;")</f>
        <v/>
      </c>
      <c r="Z243" s="42">
        <f>IF(ISBLANK(X243),"",IF(OR(AB243="PASSED",ISBLANK(N243)),"&lt;/b&gt;","&lt;/i&gt;"))</f>
        <v/>
      </c>
      <c r="AA243" s="43">
        <f>IF(AB243="PASSED","&lt;b&gt;","")</f>
        <v/>
      </c>
      <c r="AB243" s="45" t="inlineStr">
        <is>
          <t>INTRODUCED</t>
        </is>
      </c>
      <c r="AC243" s="43">
        <f>IF(AB243="PASSED","&lt;/b&gt;","")</f>
        <v/>
      </c>
      <c r="AD243" s="43">
        <f>IF(ISBLANK(AE243),"","&lt;b&gt;")</f>
        <v/>
      </c>
      <c r="AE243" s="51" t="inlineStr">
        <is>
          <t>03/10</t>
        </is>
      </c>
      <c r="AF243" s="42">
        <f>IF(ISBLANK(AE243),"",": ")</f>
        <v/>
      </c>
      <c r="AG243" s="42" t="inlineStr">
        <is>
          <t>JFAC Budget Setting</t>
        </is>
      </c>
      <c r="AH243" s="42">
        <f>IF(ISBLANK(AE243),"","&lt;/b&gt;")</f>
        <v/>
      </c>
      <c r="AI243" s="42" t="inlineStr">
        <is>
          <t>02/12: JFAC Budget Hearing</t>
        </is>
      </c>
      <c r="AJ243" s="42">
        <f>IF(ISBLANK(AI243),"","&lt;br&gt;"&amp;AI243)</f>
        <v/>
      </c>
      <c r="AK243" s="42" t="n"/>
      <c r="AL243" s="42" t="n"/>
      <c r="AM243" s="42" t="n"/>
      <c r="AN243" s="42">
        <f>IF(ISBLANK(AM243),"","&lt;/i&gt;")</f>
        <v/>
      </c>
      <c r="AO243" s="35">
        <f>IF(ISBLANK(AQ243),"","&lt;/b&gt;&lt;br&gt;&lt;br&gt;")</f>
        <v/>
      </c>
      <c r="AP243" s="42">
        <f>IF(ISBLANK(AQ243),"","&lt;b&gt;")</f>
        <v/>
      </c>
      <c r="AQ243" s="42" t="n"/>
      <c r="AR243" s="4" t="n"/>
      <c r="AS243" s="4">
        <f>IF(ISBLANK(AR243),""," %")</f>
        <v/>
      </c>
      <c r="AT243" s="4">
        <f t="array" ref="AT243">_xlfn.IFS(NOT(ISBLANK(AU243))," (pgs. ",NOT(ISBLANK(AS243))," (pg. ", ISBLANK(AS243), "")</f>
        <v/>
      </c>
      <c r="AU243" s="42" t="n"/>
      <c r="AV243" s="4">
        <f>IF(ISBLANK(AW243),"",", ")</f>
        <v/>
      </c>
      <c r="AW243" s="42" t="n"/>
      <c r="AX243" s="4">
        <f>IF(ISBLANK(AY243),"",",&lt;br&gt;")</f>
        <v/>
      </c>
      <c r="AY243" s="42" t="n"/>
      <c r="AZ243" s="49">
        <f>IF(ISBLANK(AU243),"",")&lt;/b&gt;")</f>
        <v/>
      </c>
      <c r="BA243" s="4">
        <f>IF(ISBLANK(BC243),"","&lt;br&gt;")</f>
        <v/>
      </c>
      <c r="BB243" s="42">
        <f t="array" ref="BB243">IF(ISBLANK(BC243),"",_xlfn.LET(
_xlpm.words,_xlfn.TEXTSPLIT(TRIM(BC243),"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43" s="50" t="n"/>
    </row>
    <row r="244">
      <c r="A244" s="20">
        <f>_xlfn.TEXTJOIN("", TRUE, F244:H244)</f>
        <v/>
      </c>
      <c r="B244" s="21">
        <f>_xlfn.TEXTJOIN("", TRUE, I244:S244)</f>
        <v/>
      </c>
      <c r="C244" s="21">
        <f>IF(ISBLANK(X244),"", _xlfn.TEXTJOIN("",TRUE,T244:Z244))</f>
        <v/>
      </c>
      <c r="D244" s="21">
        <f>IF(ISBLANK(AB244), "", _xlfn.TEXTJOIN("", TRUE, AA244:AC244))</f>
        <v/>
      </c>
      <c r="E244" s="22">
        <f>IF(AU244="NA", _xlfn.TEXTJOIN("", TRUE, AD244:AH244), _xlfn.TEXTJOIN("", TRUE, AD244:AJ244))</f>
        <v/>
      </c>
      <c r="F244" s="42">
        <f>IF(LEFT(G244,4)="FY26","&lt;b&gt;","&lt;i&gt;")</f>
        <v/>
      </c>
      <c r="G244" s="42" t="inlineStr">
        <is>
          <t>FY27 Enhancement</t>
        </is>
      </c>
      <c r="H244" s="42">
        <f>IF(LEFT(G244,4)="FY26","&lt;/b&gt;","&lt;/i&gt;")</f>
        <v/>
      </c>
      <c r="I244" s="43" t="inlineStr">
        <is>
          <t>&lt;i&gt;</t>
        </is>
      </c>
      <c r="J244" s="44" t="inlineStr">
        <is>
          <t>Economic Development</t>
        </is>
      </c>
      <c r="K244" s="44" t="inlineStr">
        <is>
          <t>&lt;/i&gt;</t>
        </is>
      </c>
      <c r="L244" s="4">
        <f>IF(ISBLANK(N244),"","&lt;br&gt;")</f>
        <v/>
      </c>
      <c r="M244" s="42">
        <f>IF(ISBLANK(R244),"&lt;b&gt;","&lt;i&gt;")</f>
        <v/>
      </c>
      <c r="N244" s="42" t="inlineStr">
        <is>
          <t>Dept. of Self-Governing Agencies</t>
        </is>
      </c>
      <c r="O244" s="42">
        <f>IF(ISBLANK(R244),"&lt;/b&gt;","&lt;/i&gt;")</f>
        <v/>
      </c>
      <c r="P244" s="4">
        <f>IF(ISBLANK(R244),"","&lt;br&gt;")</f>
        <v/>
      </c>
      <c r="Q244" s="42">
        <f>IF(ISBLANK(R244),"","&lt;b&gt;")</f>
        <v/>
      </c>
      <c r="R244" s="42" t="inlineStr">
        <is>
          <t>Office of the State Public Defender</t>
        </is>
      </c>
      <c r="S244" s="42">
        <f>IF(ISBLANK(R244),"","&lt;/i&gt;")</f>
        <v/>
      </c>
      <c r="T244" s="42">
        <f>IF(ISBLANK(X244),"",IF(OR(AB244="PASSED",ISBLANK(N244)),"&lt;b&gt;","&lt;i&gt;"))</f>
        <v/>
      </c>
      <c r="U244" s="3">
        <f>IF(ISBLANK(V244),"","&lt;a href='")</f>
        <v/>
      </c>
      <c r="V244" s="13" t="inlineStr">
        <is>
          <t>https://legislature.idaho.gov/sessioninfo/rs/</t>
        </is>
      </c>
      <c r="W244" s="17">
        <f>IF(ISBLANK(V244),"","'&gt;")</f>
        <v/>
      </c>
      <c r="X244" s="12" t="inlineStr">
        <is>
          <t>Enhancement</t>
        </is>
      </c>
      <c r="Y244" s="17">
        <f>IF(ISBLANK(X244),"","&lt;/a&gt;")</f>
        <v/>
      </c>
      <c r="Z244" s="42">
        <f>IF(ISBLANK(X244),"",IF(OR(AB244="PASSED",ISBLANK(N244)),"&lt;/b&gt;","&lt;/i&gt;"))</f>
        <v/>
      </c>
      <c r="AA244" s="43">
        <f>IF(AB244="PASSED","&lt;b&gt;","")</f>
        <v/>
      </c>
      <c r="AB244" s="45" t="inlineStr">
        <is>
          <t>INTRODUCED</t>
        </is>
      </c>
      <c r="AC244" s="43">
        <f>IF(AB244="PASSED","&lt;/b&gt;","")</f>
        <v/>
      </c>
      <c r="AD244" s="43">
        <f>IF(ISBLANK(AE244),"","&lt;b&gt;")</f>
        <v/>
      </c>
      <c r="AE244" s="51" t="inlineStr">
        <is>
          <t>03/10</t>
        </is>
      </c>
      <c r="AF244" s="42">
        <f>IF(ISBLANK(AE244),"",": ")</f>
        <v/>
      </c>
      <c r="AG244" s="42" t="inlineStr">
        <is>
          <t>JFAC Budget Setting</t>
        </is>
      </c>
      <c r="AH244" s="42">
        <f>IF(ISBLANK(AE244),"","&lt;/b&gt;")</f>
        <v/>
      </c>
      <c r="AI244" s="42" t="inlineStr">
        <is>
          <t>02/18: JFAC Budget Hearing</t>
        </is>
      </c>
      <c r="AJ244" s="42">
        <f>IF(ISBLANK(AI244),"","&lt;br&gt;"&amp;AI244)</f>
        <v/>
      </c>
      <c r="AK244" s="42" t="n"/>
      <c r="AL244" s="42" t="n"/>
      <c r="AM244" s="42" t="n"/>
      <c r="AN244" s="42">
        <f>IF(ISBLANK(AM244),"","&lt;/i&gt;")</f>
        <v/>
      </c>
      <c r="AO244" s="35">
        <f>IF(ISBLANK(AQ244),"","&lt;/b&gt;&lt;br&gt;&lt;br&gt;")</f>
        <v/>
      </c>
      <c r="AP244" s="42">
        <f>IF(ISBLANK(AQ244),"","&lt;b&gt;")</f>
        <v/>
      </c>
      <c r="AQ244" s="42" t="n"/>
      <c r="AR244" s="4" t="n"/>
      <c r="AS244" s="4">
        <f>IF(ISBLANK(AR244),""," %")</f>
        <v/>
      </c>
      <c r="AT244" s="4">
        <f t="array" ref="AT244">_xlfn.IFS(NOT(ISBLANK(AU244))," (pgs. ",NOT(ISBLANK(AS244))," (pg. ", ISBLANK(AS244), "")</f>
        <v/>
      </c>
      <c r="AU244" s="42" t="n"/>
      <c r="AV244" s="4">
        <f>IF(ISBLANK(AW244),"",", ")</f>
        <v/>
      </c>
      <c r="AW244" s="42" t="n"/>
      <c r="AX244" s="4">
        <f>IF(ISBLANK(AY244),"",",&lt;br&gt;")</f>
        <v/>
      </c>
      <c r="AY244" s="42" t="n"/>
      <c r="AZ244" s="49">
        <f>IF(ISBLANK(AU244),"",")&lt;/b&gt;")</f>
        <v/>
      </c>
      <c r="BA244" s="4">
        <f>IF(ISBLANK(BC244),"","&lt;br&gt;")</f>
        <v/>
      </c>
      <c r="BB244" s="42">
        <f t="array" ref="BB244">IF(ISBLANK(BC244),"",_xlfn.LET(
_xlpm.words,_xlfn.TEXTSPLIT(TRIM(BC244),"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44" s="50" t="n"/>
    </row>
    <row r="245">
      <c r="A245" s="20">
        <f>_xlfn.TEXTJOIN("", TRUE, F245:H245)</f>
        <v/>
      </c>
      <c r="B245" s="21">
        <f>_xlfn.TEXTJOIN("", TRUE, I245:S245)</f>
        <v/>
      </c>
      <c r="C245" s="21">
        <f>IF(ISBLANK(X245),"", _xlfn.TEXTJOIN("",TRUE,T245:Z245))</f>
        <v/>
      </c>
      <c r="D245" s="21">
        <f>IF(ISBLANK(AB245), "", _xlfn.TEXTJOIN("", TRUE, AA245:AC245))</f>
        <v/>
      </c>
      <c r="E245" s="22">
        <f>IF(AU245="NA", _xlfn.TEXTJOIN("", TRUE, AD245:AH245), _xlfn.TEXTJOIN("", TRUE, AD245:AJ245))</f>
        <v/>
      </c>
      <c r="F245" s="42">
        <f>IF(LEFT(G245,4)="FY26","&lt;b&gt;","&lt;i&gt;")</f>
        <v/>
      </c>
      <c r="G245" s="42" t="inlineStr">
        <is>
          <t>FY27 Enhancement</t>
        </is>
      </c>
      <c r="H245" s="42">
        <f>IF(LEFT(G245,4)="FY26","&lt;/b&gt;","&lt;/i&gt;")</f>
        <v/>
      </c>
      <c r="I245" s="43" t="inlineStr">
        <is>
          <t>&lt;i&gt;</t>
        </is>
      </c>
      <c r="J245" s="44" t="inlineStr">
        <is>
          <t>Economic Development</t>
        </is>
      </c>
      <c r="K245" s="44" t="inlineStr">
        <is>
          <t>&lt;/i&gt;</t>
        </is>
      </c>
      <c r="L245" s="4">
        <f>IF(ISBLANK(N245),"","&lt;br&gt;")</f>
        <v/>
      </c>
      <c r="M245" s="42">
        <f>IF(ISBLANK(R245),"&lt;b&gt;","&lt;i&gt;")</f>
        <v/>
      </c>
      <c r="N245" s="42" t="inlineStr">
        <is>
          <t>Dept. of Transportation</t>
        </is>
      </c>
      <c r="O245" s="42">
        <f>IF(ISBLANK(R245),"&lt;/b&gt;","&lt;/i&gt;")</f>
        <v/>
      </c>
      <c r="P245" s="4">
        <f>IF(ISBLANK(R245),"","&lt;br&gt;")</f>
        <v/>
      </c>
      <c r="Q245" s="42">
        <f>IF(ISBLANK(R245),"","&lt;b&gt;")</f>
        <v/>
      </c>
      <c r="R245" s="42" t="inlineStr">
        <is>
          <t>Contract Construction &amp; Right-of-Way</t>
        </is>
      </c>
      <c r="S245" s="42">
        <f>IF(ISBLANK(R245),"","&lt;/i&gt;")</f>
        <v/>
      </c>
      <c r="T245" s="42">
        <f>IF(ISBLANK(X245),"",IF(OR(AB245="PASSED",ISBLANK(N245)),"&lt;b&gt;","&lt;i&gt;"))</f>
        <v/>
      </c>
      <c r="U245" s="3">
        <f>IF(ISBLANK(V245),"","&lt;a href='")</f>
        <v/>
      </c>
      <c r="V245" s="13" t="inlineStr">
        <is>
          <t>https://legislature.idaho.gov/sessioninfo/rs/</t>
        </is>
      </c>
      <c r="W245" s="17">
        <f>IF(ISBLANK(V245),"","'&gt;")</f>
        <v/>
      </c>
      <c r="X245" s="12" t="inlineStr">
        <is>
          <t>Enhancement</t>
        </is>
      </c>
      <c r="Y245" s="17">
        <f>IF(ISBLANK(X245),"","&lt;/a&gt;")</f>
        <v/>
      </c>
      <c r="Z245" s="42">
        <f>IF(ISBLANK(X245),"",IF(OR(AB245="PASSED",ISBLANK(N245)),"&lt;/b&gt;","&lt;/i&gt;"))</f>
        <v/>
      </c>
      <c r="AA245" s="43">
        <f>IF(AB245="PASSED","&lt;b&gt;","")</f>
        <v/>
      </c>
      <c r="AB245" s="45" t="inlineStr">
        <is>
          <t>INTRODUCED</t>
        </is>
      </c>
      <c r="AC245" s="43">
        <f>IF(AB245="PASSED","&lt;/b&gt;","")</f>
        <v/>
      </c>
      <c r="AD245" s="43">
        <f>IF(ISBLANK(AE245),"","&lt;b&gt;")</f>
        <v/>
      </c>
      <c r="AE245" s="51" t="inlineStr">
        <is>
          <t>03/10</t>
        </is>
      </c>
      <c r="AF245" s="42">
        <f>IF(ISBLANK(AE245),"",": ")</f>
        <v/>
      </c>
      <c r="AG245" s="42" t="inlineStr">
        <is>
          <t>JFAC Budget Setting</t>
        </is>
      </c>
      <c r="AH245" s="42">
        <f>IF(ISBLANK(AE245),"","&lt;/b&gt;")</f>
        <v/>
      </c>
      <c r="AI245" s="42" t="inlineStr">
        <is>
          <t>02/05: JFAC Budget Hearing</t>
        </is>
      </c>
      <c r="AJ245" s="42">
        <f>IF(ISBLANK(AI245),"","&lt;br&gt;"&amp;AI245)</f>
        <v/>
      </c>
      <c r="AK245" s="42" t="n"/>
      <c r="AL245" s="42" t="n"/>
      <c r="AM245" s="42" t="n"/>
      <c r="AN245" s="42">
        <f>IF(ISBLANK(AM245),"","&lt;/i&gt;")</f>
        <v/>
      </c>
      <c r="AO245" s="35">
        <f>IF(ISBLANK(AQ245),"","&lt;/b&gt;&lt;br&gt;&lt;br&gt;")</f>
        <v/>
      </c>
      <c r="AP245" s="42">
        <f>IF(ISBLANK(AQ245),"","&lt;b&gt;")</f>
        <v/>
      </c>
      <c r="AQ245" s="42" t="n"/>
      <c r="AR245" s="4" t="n"/>
      <c r="AS245" s="4">
        <f>IF(ISBLANK(AR245),""," %")</f>
        <v/>
      </c>
      <c r="AT245" s="4">
        <f t="array" ref="AT245">_xlfn.IFS(NOT(ISBLANK(AU245))," (pgs. ",NOT(ISBLANK(AS245))," (pg. ", ISBLANK(AS245), "")</f>
        <v/>
      </c>
      <c r="AU245" s="42" t="n"/>
      <c r="AV245" s="4">
        <f>IF(ISBLANK(AW245),"",", ")</f>
        <v/>
      </c>
      <c r="AW245" s="42" t="n"/>
      <c r="AX245" s="4">
        <f>IF(ISBLANK(AY245),"",",&lt;br&gt;")</f>
        <v/>
      </c>
      <c r="AY245" s="42" t="n"/>
      <c r="AZ245" s="49">
        <f>IF(ISBLANK(AU245),"",")&lt;/b&gt;")</f>
        <v/>
      </c>
      <c r="BA245" s="4">
        <f>IF(ISBLANK(BC245),"","&lt;br&gt;")</f>
        <v/>
      </c>
      <c r="BB245" s="42">
        <f t="array" ref="BB245">IF(ISBLANK(BC245),"",_xlfn.LET(
_xlpm.words,_xlfn.TEXTSPLIT(TRIM(BC245),"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45" s="50" t="n"/>
    </row>
    <row r="246">
      <c r="A246" s="20">
        <f>_xlfn.TEXTJOIN("", TRUE, F246:H246)</f>
        <v/>
      </c>
      <c r="B246" s="21">
        <f>_xlfn.TEXTJOIN("", TRUE, I246:S246)</f>
        <v/>
      </c>
      <c r="C246" s="21">
        <f>IF(ISBLANK(X246),"", _xlfn.TEXTJOIN("",TRUE,T246:Z246))</f>
        <v/>
      </c>
      <c r="D246" s="21">
        <f>IF(ISBLANK(AB246), "", _xlfn.TEXTJOIN("", TRUE, AA246:AC246))</f>
        <v/>
      </c>
      <c r="E246" s="22">
        <f>IF(AU246="NA", _xlfn.TEXTJOIN("", TRUE, AD246:AH246), _xlfn.TEXTJOIN("", TRUE, AD246:AJ246))</f>
        <v/>
      </c>
      <c r="F246" s="42">
        <f>IF(LEFT(G246,4)="FY26","&lt;b&gt;","&lt;i&gt;")</f>
        <v/>
      </c>
      <c r="G246" s="42" t="inlineStr">
        <is>
          <t>FY27 Enhancement</t>
        </is>
      </c>
      <c r="H246" s="42">
        <f>IF(LEFT(G246,4)="FY26","&lt;/b&gt;","&lt;/i&gt;")</f>
        <v/>
      </c>
      <c r="I246" s="43" t="inlineStr">
        <is>
          <t>&lt;i&gt;</t>
        </is>
      </c>
      <c r="J246" s="44" t="inlineStr">
        <is>
          <t>Economic Development</t>
        </is>
      </c>
      <c r="K246" s="44" t="inlineStr">
        <is>
          <t>&lt;/i&gt;</t>
        </is>
      </c>
      <c r="L246" s="4">
        <f>IF(ISBLANK(N246),"","&lt;br&gt;")</f>
        <v/>
      </c>
      <c r="M246" s="42">
        <f>IF(ISBLANK(R246),"&lt;b&gt;","&lt;i&gt;")</f>
        <v/>
      </c>
      <c r="N246" s="42" t="inlineStr">
        <is>
          <t>Dept. of Transportation</t>
        </is>
      </c>
      <c r="O246" s="42">
        <f>IF(ISBLANK(R246),"&lt;/b&gt;","&lt;/i&gt;")</f>
        <v/>
      </c>
      <c r="P246" s="4">
        <f>IF(ISBLANK(R246),"","&lt;br&gt;")</f>
        <v/>
      </c>
      <c r="Q246" s="42">
        <f>IF(ISBLANK(R246),"","&lt;b&gt;")</f>
        <v/>
      </c>
      <c r="R246" s="42" t="inlineStr">
        <is>
          <t>Highway Operations</t>
        </is>
      </c>
      <c r="S246" s="42">
        <f>IF(ISBLANK(R246),"","&lt;/i&gt;")</f>
        <v/>
      </c>
      <c r="T246" s="42">
        <f>IF(ISBLANK(X246),"",IF(OR(AB246="PASSED",ISBLANK(N246)),"&lt;b&gt;","&lt;i&gt;"))</f>
        <v/>
      </c>
      <c r="U246" s="3">
        <f>IF(ISBLANK(V246),"","&lt;a href='")</f>
        <v/>
      </c>
      <c r="V246" s="13" t="inlineStr">
        <is>
          <t>https://legislature.idaho.gov/sessioninfo/rs/</t>
        </is>
      </c>
      <c r="W246" s="17">
        <f>IF(ISBLANK(V246),"","'&gt;")</f>
        <v/>
      </c>
      <c r="X246" s="12" t="inlineStr">
        <is>
          <t>Enhancement</t>
        </is>
      </c>
      <c r="Y246" s="17">
        <f>IF(ISBLANK(X246),"","&lt;/a&gt;")</f>
        <v/>
      </c>
      <c r="Z246" s="42">
        <f>IF(ISBLANK(X246),"",IF(OR(AB246="PASSED",ISBLANK(N246)),"&lt;/b&gt;","&lt;/i&gt;"))</f>
        <v/>
      </c>
      <c r="AA246" s="43">
        <f>IF(AB246="PASSED","&lt;b&gt;","")</f>
        <v/>
      </c>
      <c r="AB246" s="45" t="inlineStr">
        <is>
          <t>INTRODUCED</t>
        </is>
      </c>
      <c r="AC246" s="43">
        <f>IF(AB246="PASSED","&lt;/b&gt;","")</f>
        <v/>
      </c>
      <c r="AD246" s="43">
        <f>IF(ISBLANK(AE246),"","&lt;b&gt;")</f>
        <v/>
      </c>
      <c r="AE246" s="51" t="inlineStr">
        <is>
          <t>03/10</t>
        </is>
      </c>
      <c r="AF246" s="42">
        <f>IF(ISBLANK(AE246),"",": ")</f>
        <v/>
      </c>
      <c r="AG246" s="42" t="inlineStr">
        <is>
          <t>JFAC Budget Setting</t>
        </is>
      </c>
      <c r="AH246" s="42">
        <f>IF(ISBLANK(AE246),"","&lt;/b&gt;")</f>
        <v/>
      </c>
      <c r="AI246" s="42" t="inlineStr">
        <is>
          <t>02/05: JFAC Budget Hearing</t>
        </is>
      </c>
      <c r="AJ246" s="42">
        <f>IF(ISBLANK(AI246),"","&lt;br&gt;"&amp;AI246)</f>
        <v/>
      </c>
      <c r="AK246" s="42" t="n"/>
      <c r="AL246" s="42" t="n"/>
      <c r="AM246" s="42" t="n"/>
      <c r="AN246" s="42">
        <f>IF(ISBLANK(AM246),"","&lt;/i&gt;")</f>
        <v/>
      </c>
      <c r="AO246" s="35">
        <f>IF(ISBLANK(AQ246),"","&lt;/b&gt;&lt;br&gt;&lt;br&gt;")</f>
        <v/>
      </c>
      <c r="AP246" s="42">
        <f>IF(ISBLANK(AQ246),"","&lt;b&gt;")</f>
        <v/>
      </c>
      <c r="AQ246" s="42" t="n"/>
      <c r="AR246" s="4" t="n"/>
      <c r="AS246" s="4">
        <f>IF(ISBLANK(AR246),""," %")</f>
        <v/>
      </c>
      <c r="AT246" s="4">
        <f t="array" ref="AT246">_xlfn.IFS(NOT(ISBLANK(AU246))," (pgs. ",NOT(ISBLANK(AS246))," (pg. ", ISBLANK(AS246), "")</f>
        <v/>
      </c>
      <c r="AU246" s="42" t="n"/>
      <c r="AV246" s="4">
        <f>IF(ISBLANK(AW246),"",", ")</f>
        <v/>
      </c>
      <c r="AW246" s="42" t="n"/>
      <c r="AX246" s="4">
        <f>IF(ISBLANK(AY246),"",",&lt;br&gt;")</f>
        <v/>
      </c>
      <c r="AY246" s="42" t="n"/>
      <c r="AZ246" s="49">
        <f>IF(ISBLANK(AU246),"",")&lt;/b&gt;")</f>
        <v/>
      </c>
      <c r="BA246" s="4">
        <f>IF(ISBLANK(BC246),"","&lt;br&gt;")</f>
        <v/>
      </c>
      <c r="BB246" s="42">
        <f t="array" ref="BB246">IF(ISBLANK(BC246),"",_xlfn.LET(
_xlpm.words,_xlfn.TEXTSPLIT(TRIM(BC246),"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46" s="50" t="n"/>
    </row>
    <row r="247">
      <c r="A247" s="20">
        <f>_xlfn.TEXTJOIN("", TRUE, F247:H247)</f>
        <v/>
      </c>
      <c r="B247" s="21">
        <f>_xlfn.TEXTJOIN("", TRUE, I247:S247)</f>
        <v/>
      </c>
      <c r="C247" s="21">
        <f>IF(ISBLANK(X247),"", _xlfn.TEXTJOIN("",TRUE,T247:Z247))</f>
        <v/>
      </c>
      <c r="D247" s="21">
        <f>IF(ISBLANK(AB247), "", _xlfn.TEXTJOIN("", TRUE, AA247:AC247))</f>
        <v/>
      </c>
      <c r="E247" s="22">
        <f>IF(AU247="NA", _xlfn.TEXTJOIN("", TRUE, AD247:AH247), _xlfn.TEXTJOIN("", TRUE, AD247:AJ247))</f>
        <v/>
      </c>
      <c r="F247" s="42">
        <f>IF(LEFT(G247,4)="FY26","&lt;b&gt;","&lt;i&gt;")</f>
        <v/>
      </c>
      <c r="G247" s="42" t="inlineStr">
        <is>
          <t>FY27 Enhancement</t>
        </is>
      </c>
      <c r="H247" s="42">
        <f>IF(LEFT(G247,4)="FY26","&lt;/b&gt;","&lt;/i&gt;")</f>
        <v/>
      </c>
      <c r="I247" s="43" t="inlineStr">
        <is>
          <t>&lt;i&gt;</t>
        </is>
      </c>
      <c r="J247" s="44" t="inlineStr">
        <is>
          <t>Economic Development</t>
        </is>
      </c>
      <c r="K247" s="44" t="inlineStr">
        <is>
          <t>&lt;/i&gt;</t>
        </is>
      </c>
      <c r="L247" s="4">
        <f>IF(ISBLANK(N247),"","&lt;br&gt;")</f>
        <v/>
      </c>
      <c r="M247" s="42">
        <f>IF(ISBLANK(R247),"&lt;b&gt;","&lt;i&gt;")</f>
        <v/>
      </c>
      <c r="N247" s="42" t="inlineStr">
        <is>
          <t>Dept. of Transportation</t>
        </is>
      </c>
      <c r="O247" s="42">
        <f>IF(ISBLANK(R247),"&lt;/b&gt;","&lt;/i&gt;")</f>
        <v/>
      </c>
      <c r="P247" s="4">
        <f>IF(ISBLANK(R247),"","&lt;br&gt;")</f>
        <v/>
      </c>
      <c r="Q247" s="42">
        <f>IF(ISBLANK(R247),"","&lt;b&gt;")</f>
        <v/>
      </c>
      <c r="R247" s="42" t="inlineStr">
        <is>
          <t>Motor Vehicles</t>
        </is>
      </c>
      <c r="S247" s="42">
        <f>IF(ISBLANK(R247),"","&lt;/i&gt;")</f>
        <v/>
      </c>
      <c r="T247" s="42">
        <f>IF(ISBLANK(X247),"",IF(OR(AB247="PASSED",ISBLANK(N247)),"&lt;b&gt;","&lt;i&gt;"))</f>
        <v/>
      </c>
      <c r="U247" s="3">
        <f>IF(ISBLANK(V247),"","&lt;a href='")</f>
        <v/>
      </c>
      <c r="V247" s="13" t="inlineStr">
        <is>
          <t>https://legislature.idaho.gov/sessioninfo/rs/</t>
        </is>
      </c>
      <c r="W247" s="17">
        <f>IF(ISBLANK(V247),"","'&gt;")</f>
        <v/>
      </c>
      <c r="X247" s="12" t="inlineStr">
        <is>
          <t>Enhancement</t>
        </is>
      </c>
      <c r="Y247" s="17">
        <f>IF(ISBLANK(X247),"","&lt;/a&gt;")</f>
        <v/>
      </c>
      <c r="Z247" s="42">
        <f>IF(ISBLANK(X247),"",IF(OR(AB247="PASSED",ISBLANK(N247)),"&lt;/b&gt;","&lt;/i&gt;"))</f>
        <v/>
      </c>
      <c r="AA247" s="43">
        <f>IF(AB247="PASSED","&lt;b&gt;","")</f>
        <v/>
      </c>
      <c r="AB247" s="45" t="inlineStr">
        <is>
          <t>INTRODUCED</t>
        </is>
      </c>
      <c r="AC247" s="43">
        <f>IF(AB247="PASSED","&lt;/b&gt;","")</f>
        <v/>
      </c>
      <c r="AD247" s="43">
        <f>IF(ISBLANK(AE247),"","&lt;b&gt;")</f>
        <v/>
      </c>
      <c r="AE247" s="51" t="inlineStr">
        <is>
          <t>03/10</t>
        </is>
      </c>
      <c r="AF247" s="42">
        <f>IF(ISBLANK(AE247),"",": ")</f>
        <v/>
      </c>
      <c r="AG247" s="42" t="inlineStr">
        <is>
          <t>JFAC Budget Setting</t>
        </is>
      </c>
      <c r="AH247" s="42">
        <f>IF(ISBLANK(AE247),"","&lt;/b&gt;")</f>
        <v/>
      </c>
      <c r="AI247" s="42" t="inlineStr">
        <is>
          <t>02/05: JFAC Budget Hearing</t>
        </is>
      </c>
      <c r="AJ247" s="42">
        <f>IF(ISBLANK(AI247),"","&lt;br&gt;"&amp;AI247)</f>
        <v/>
      </c>
      <c r="AK247" s="42" t="n"/>
      <c r="AL247" s="42" t="n"/>
      <c r="AM247" s="42" t="n"/>
      <c r="AN247" s="42">
        <f>IF(ISBLANK(AM247),"","&lt;/i&gt;")</f>
        <v/>
      </c>
      <c r="AO247" s="35">
        <f>IF(ISBLANK(AQ247),"","&lt;/b&gt;&lt;br&gt;&lt;br&gt;")</f>
        <v/>
      </c>
      <c r="AP247" s="42">
        <f>IF(ISBLANK(AQ247),"","&lt;b&gt;")</f>
        <v/>
      </c>
      <c r="AQ247" s="42" t="n"/>
      <c r="AR247" s="4" t="n"/>
      <c r="AS247" s="4">
        <f>IF(ISBLANK(AR247),""," %")</f>
        <v/>
      </c>
      <c r="AT247" s="4">
        <f t="array" ref="AT247">_xlfn.IFS(NOT(ISBLANK(AU247))," (pgs. ",NOT(ISBLANK(AS247))," (pg. ", ISBLANK(AS247), "")</f>
        <v/>
      </c>
      <c r="AU247" s="42" t="n"/>
      <c r="AV247" s="4">
        <f>IF(ISBLANK(AW247),"",", ")</f>
        <v/>
      </c>
      <c r="AW247" s="42" t="n"/>
      <c r="AX247" s="4">
        <f>IF(ISBLANK(AY247),"",",&lt;br&gt;")</f>
        <v/>
      </c>
      <c r="AY247" s="42" t="n"/>
      <c r="AZ247" s="49">
        <f>IF(ISBLANK(AU247),"",")&lt;/b&gt;")</f>
        <v/>
      </c>
      <c r="BA247" s="4">
        <f>IF(ISBLANK(BC247),"","&lt;br&gt;")</f>
        <v/>
      </c>
      <c r="BB247" s="42">
        <f t="array" ref="BB247">IF(ISBLANK(BC247),"",_xlfn.LET(
_xlpm.words,_xlfn.TEXTSPLIT(TRIM(BC247),"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47" s="50" t="n"/>
    </row>
    <row r="248">
      <c r="A248" s="20">
        <f>_xlfn.TEXTJOIN("", TRUE, F248:H248)</f>
        <v/>
      </c>
      <c r="B248" s="21">
        <f>_xlfn.TEXTJOIN("", TRUE, I248:S248)</f>
        <v/>
      </c>
      <c r="C248" s="21">
        <f>IF(ISBLANK(X248),"", _xlfn.TEXTJOIN("",TRUE,T248:Z248))</f>
        <v/>
      </c>
      <c r="D248" s="21">
        <f>IF(ISBLANK(AB248), "", _xlfn.TEXTJOIN("", TRUE, AA248:AC248))</f>
        <v/>
      </c>
      <c r="E248" s="22">
        <f>IF(AU248="NA", _xlfn.TEXTJOIN("", TRUE, AD248:AH248), _xlfn.TEXTJOIN("", TRUE, AD248:AJ248))</f>
        <v/>
      </c>
      <c r="F248" s="42">
        <f>IF(LEFT(G248,4)="FY26","&lt;b&gt;","&lt;i&gt;")</f>
        <v/>
      </c>
      <c r="G248" s="42" t="inlineStr">
        <is>
          <t>FY27 Enhancement</t>
        </is>
      </c>
      <c r="H248" s="42">
        <f>IF(LEFT(G248,4)="FY26","&lt;/b&gt;","&lt;/i&gt;")</f>
        <v/>
      </c>
      <c r="I248" s="43" t="inlineStr">
        <is>
          <t>&lt;i&gt;</t>
        </is>
      </c>
      <c r="J248" s="44" t="inlineStr">
        <is>
          <t>Economic Development</t>
        </is>
      </c>
      <c r="K248" s="44" t="inlineStr">
        <is>
          <t>&lt;/i&gt;</t>
        </is>
      </c>
      <c r="L248" s="4">
        <f>IF(ISBLANK(N248),"","&lt;br&gt;")</f>
        <v/>
      </c>
      <c r="M248" s="42">
        <f>IF(ISBLANK(R248),"&lt;b&gt;","&lt;i&gt;")</f>
        <v/>
      </c>
      <c r="N248" s="42" t="inlineStr">
        <is>
          <t>Dept. of Transportation</t>
        </is>
      </c>
      <c r="O248" s="42">
        <f>IF(ISBLANK(R248),"&lt;/b&gt;","&lt;/i&gt;")</f>
        <v/>
      </c>
      <c r="P248" s="4">
        <f>IF(ISBLANK(R248),"","&lt;br&gt;")</f>
        <v/>
      </c>
      <c r="Q248" s="42">
        <f>IF(ISBLANK(R248),"","&lt;b&gt;")</f>
        <v/>
      </c>
      <c r="R248" s="42" t="inlineStr">
        <is>
          <t>Transportation Services</t>
        </is>
      </c>
      <c r="S248" s="42">
        <f>IF(ISBLANK(R248),"","&lt;/i&gt;")</f>
        <v/>
      </c>
      <c r="T248" s="42">
        <f>IF(ISBLANK(X248),"",IF(OR(AB248="PASSED",ISBLANK(N248)),"&lt;b&gt;","&lt;i&gt;"))</f>
        <v/>
      </c>
      <c r="U248" s="3">
        <f>IF(ISBLANK(V248),"","&lt;a href='")</f>
        <v/>
      </c>
      <c r="V248" s="13" t="inlineStr">
        <is>
          <t>https://legislature.idaho.gov/sessioninfo/rs/</t>
        </is>
      </c>
      <c r="W248" s="17">
        <f>IF(ISBLANK(V248),"","'&gt;")</f>
        <v/>
      </c>
      <c r="X248" s="12" t="inlineStr">
        <is>
          <t>Enhancement</t>
        </is>
      </c>
      <c r="Y248" s="17">
        <f>IF(ISBLANK(X248),"","&lt;/a&gt;")</f>
        <v/>
      </c>
      <c r="Z248" s="42">
        <f>IF(ISBLANK(X248),"",IF(OR(AB248="PASSED",ISBLANK(N248)),"&lt;/b&gt;","&lt;/i&gt;"))</f>
        <v/>
      </c>
      <c r="AA248" s="43">
        <f>IF(AB248="PASSED","&lt;b&gt;","")</f>
        <v/>
      </c>
      <c r="AB248" s="45" t="inlineStr">
        <is>
          <t>INTRODUCED</t>
        </is>
      </c>
      <c r="AC248" s="43">
        <f>IF(AB248="PASSED","&lt;/b&gt;","")</f>
        <v/>
      </c>
      <c r="AD248" s="43">
        <f>IF(ISBLANK(AE248),"","&lt;b&gt;")</f>
        <v/>
      </c>
      <c r="AE248" s="51" t="inlineStr">
        <is>
          <t>03/10</t>
        </is>
      </c>
      <c r="AF248" s="42">
        <f>IF(ISBLANK(AE248),"",": ")</f>
        <v/>
      </c>
      <c r="AG248" s="42" t="inlineStr">
        <is>
          <t>JFAC Budget Setting</t>
        </is>
      </c>
      <c r="AH248" s="42">
        <f>IF(ISBLANK(AE248),"","&lt;/b&gt;")</f>
        <v/>
      </c>
      <c r="AI248" s="42" t="inlineStr">
        <is>
          <t>02/05: JFAC Budget Hearing</t>
        </is>
      </c>
      <c r="AJ248" s="42">
        <f>IF(ISBLANK(AI248),"","&lt;br&gt;"&amp;AI248)</f>
        <v/>
      </c>
      <c r="AK248" s="42" t="n"/>
      <c r="AL248" s="42" t="n"/>
      <c r="AM248" s="42" t="n"/>
      <c r="AN248" s="42">
        <f>IF(ISBLANK(AM248),"","&lt;/i&gt;")</f>
        <v/>
      </c>
      <c r="AO248" s="35">
        <f>IF(ISBLANK(AQ248),"","&lt;/b&gt;&lt;br&gt;&lt;br&gt;")</f>
        <v/>
      </c>
      <c r="AP248" s="42">
        <f>IF(ISBLANK(AQ248),"","&lt;b&gt;")</f>
        <v/>
      </c>
      <c r="AQ248" s="42" t="n"/>
      <c r="AR248" s="4" t="n"/>
      <c r="AS248" s="4">
        <f>IF(ISBLANK(AR248),""," %")</f>
        <v/>
      </c>
      <c r="AT248" s="4">
        <f t="array" ref="AT248">_xlfn.IFS(NOT(ISBLANK(AU248))," (pgs. ",NOT(ISBLANK(AS248))," (pg. ", ISBLANK(AS248), "")</f>
        <v/>
      </c>
      <c r="AU248" s="42" t="n"/>
      <c r="AV248" s="4">
        <f>IF(ISBLANK(AW248),"",", ")</f>
        <v/>
      </c>
      <c r="AW248" s="42" t="n"/>
      <c r="AX248" s="4">
        <f>IF(ISBLANK(AY248),"",",&lt;br&gt;")</f>
        <v/>
      </c>
      <c r="AY248" s="42" t="n"/>
      <c r="AZ248" s="49">
        <f>IF(ISBLANK(AU248),"",")&lt;/b&gt;")</f>
        <v/>
      </c>
      <c r="BA248" s="4">
        <f>IF(ISBLANK(BC248),"","&lt;br&gt;")</f>
        <v/>
      </c>
      <c r="BB248" s="42">
        <f t="array" ref="BB248">IF(ISBLANK(BC248),"",_xlfn.LET(
_xlpm.words,_xlfn.TEXTSPLIT(TRIM(BC248),"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48" s="50" t="n"/>
    </row>
    <row r="249">
      <c r="A249" s="20">
        <f>_xlfn.TEXTJOIN("", TRUE, F249:H249)</f>
        <v/>
      </c>
      <c r="B249" s="21">
        <f>_xlfn.TEXTJOIN("", TRUE, I249:S249)</f>
        <v/>
      </c>
      <c r="C249" s="21">
        <f>IF(ISBLANK(X249),"", _xlfn.TEXTJOIN("",TRUE,T249:Z249))</f>
        <v/>
      </c>
      <c r="D249" s="21">
        <f>IF(ISBLANK(AB249), "", _xlfn.TEXTJOIN("", TRUE, AA249:AC249))</f>
        <v/>
      </c>
      <c r="E249" s="22">
        <f>IF(AU249="NA", _xlfn.TEXTJOIN("", TRUE, AD249:AH249), _xlfn.TEXTJOIN("", TRUE, AD249:AJ249))</f>
        <v/>
      </c>
      <c r="F249" s="42">
        <f>IF(LEFT(G249,4)="FY26","&lt;b&gt;","&lt;i&gt;")</f>
        <v/>
      </c>
      <c r="G249" s="42" t="inlineStr">
        <is>
          <t>FY27 Enhancement</t>
        </is>
      </c>
      <c r="H249" s="42">
        <f>IF(LEFT(G249,4)="FY26","&lt;/b&gt;","&lt;/i&gt;")</f>
        <v/>
      </c>
      <c r="I249" s="43" t="inlineStr">
        <is>
          <t>&lt;i&gt;</t>
        </is>
      </c>
      <c r="J249" s="44" t="inlineStr">
        <is>
          <t>General Government</t>
        </is>
      </c>
      <c r="K249" s="44" t="inlineStr">
        <is>
          <t>&lt;/i&gt;</t>
        </is>
      </c>
      <c r="L249" s="4">
        <f>IF(ISBLANK(N249),"","&lt;br&gt;")</f>
        <v/>
      </c>
      <c r="M249" s="42">
        <f>IF(ISBLANK(R249),"&lt;b&gt;","&lt;i&gt;")</f>
        <v/>
      </c>
      <c r="N249" s="42" t="inlineStr">
        <is>
          <t>Office of the Governor</t>
        </is>
      </c>
      <c r="O249" s="42">
        <f>IF(ISBLANK(R249),"&lt;/b&gt;","&lt;/i&gt;")</f>
        <v/>
      </c>
      <c r="P249" s="4">
        <f>IF(ISBLANK(R249),"","&lt;br&gt;")</f>
        <v/>
      </c>
      <c r="Q249" s="42">
        <f>IF(ISBLANK(R249),"","&lt;b&gt;")</f>
        <v/>
      </c>
      <c r="R249" s="42" t="inlineStr">
        <is>
          <t>State Liquor Division</t>
        </is>
      </c>
      <c r="S249" s="42">
        <f>IF(ISBLANK(R249),"","&lt;/i&gt;")</f>
        <v/>
      </c>
      <c r="T249" s="42">
        <f>IF(ISBLANK(X249),"",IF(OR(AB249="PASSED",ISBLANK(N249)),"&lt;b&gt;","&lt;i&gt;"))</f>
        <v/>
      </c>
      <c r="U249" s="3">
        <f>IF(ISBLANK(V249),"","&lt;a href='")</f>
        <v/>
      </c>
      <c r="V249" s="13" t="inlineStr">
        <is>
          <t>https://legislature.idaho.gov/sessioninfo/rs/</t>
        </is>
      </c>
      <c r="W249" s="17">
        <f>IF(ISBLANK(V249),"","'&gt;")</f>
        <v/>
      </c>
      <c r="X249" s="12" t="inlineStr">
        <is>
          <t>Enhancement</t>
        </is>
      </c>
      <c r="Y249" s="17">
        <f>IF(ISBLANK(X249),"","&lt;/a&gt;")</f>
        <v/>
      </c>
      <c r="Z249" s="42">
        <f>IF(ISBLANK(X249),"",IF(OR(AB249="PASSED",ISBLANK(N249)),"&lt;/b&gt;","&lt;/i&gt;"))</f>
        <v/>
      </c>
      <c r="AA249" s="43">
        <f>IF(AB249="PASSED","&lt;b&gt;","")</f>
        <v/>
      </c>
      <c r="AB249" s="45" t="inlineStr">
        <is>
          <t>INTRODUCED</t>
        </is>
      </c>
      <c r="AC249" s="43">
        <f>IF(AB249="PASSED","&lt;/b&gt;","")</f>
        <v/>
      </c>
      <c r="AD249" s="43">
        <f>IF(ISBLANK(AE249),"","&lt;b&gt;")</f>
        <v/>
      </c>
      <c r="AE249" s="51" t="inlineStr">
        <is>
          <t>03/10</t>
        </is>
      </c>
      <c r="AF249" s="42">
        <f>IF(ISBLANK(AE249),"",": ")</f>
        <v/>
      </c>
      <c r="AG249" s="42" t="inlineStr">
        <is>
          <t>JFAC Budget Setting</t>
        </is>
      </c>
      <c r="AH249" s="42">
        <f>IF(ISBLANK(AE249),"","&lt;/b&gt;")</f>
        <v/>
      </c>
      <c r="AI249" s="42" t="inlineStr">
        <is>
          <t>02/12: JFAC Budget Hearing</t>
        </is>
      </c>
      <c r="AJ249" s="42">
        <f>IF(ISBLANK(AI249),"","&lt;br&gt;"&amp;AI249)</f>
        <v/>
      </c>
      <c r="AK249" s="42" t="n"/>
      <c r="AL249" s="42" t="n"/>
      <c r="AM249" s="42" t="n"/>
      <c r="AN249" s="42">
        <f>IF(ISBLANK(AM249),"","&lt;/i&gt;")</f>
        <v/>
      </c>
      <c r="AO249" s="35">
        <f>IF(ISBLANK(AQ249),"","&lt;/b&gt;&lt;br&gt;&lt;br&gt;")</f>
        <v/>
      </c>
      <c r="AP249" s="42">
        <f>IF(ISBLANK(AQ249),"","&lt;b&gt;")</f>
        <v/>
      </c>
      <c r="AQ249" s="42" t="n"/>
      <c r="AR249" s="4" t="n"/>
      <c r="AS249" s="4">
        <f>IF(ISBLANK(AR249),""," %")</f>
        <v/>
      </c>
      <c r="AT249" s="4">
        <f t="array" ref="AT249">_xlfn.IFS(NOT(ISBLANK(AU249))," (pgs. ",NOT(ISBLANK(AS249))," (pg. ", ISBLANK(AS249), "")</f>
        <v/>
      </c>
      <c r="AU249" s="42" t="n"/>
      <c r="AV249" s="4">
        <f>IF(ISBLANK(AW249),"",", ")</f>
        <v/>
      </c>
      <c r="AW249" s="42" t="n"/>
      <c r="AX249" s="4">
        <f>IF(ISBLANK(AY249),"",",&lt;br&gt;")</f>
        <v/>
      </c>
      <c r="AY249" s="42" t="n"/>
      <c r="AZ249" s="49">
        <f>IF(ISBLANK(AU249),"",")&lt;/b&gt;")</f>
        <v/>
      </c>
      <c r="BA249" s="4">
        <f>IF(ISBLANK(BC249),"","&lt;br&gt;")</f>
        <v/>
      </c>
      <c r="BB249" s="42">
        <f t="array" ref="BB249">IF(ISBLANK(BC249),"",_xlfn.LET(
_xlpm.words,_xlfn.TEXTSPLIT(TRIM(BC249),"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49" s="50" t="n"/>
    </row>
    <row r="250">
      <c r="A250" s="20">
        <f>_xlfn.TEXTJOIN("", TRUE, F250:H250)</f>
        <v/>
      </c>
      <c r="B250" s="21">
        <f>_xlfn.TEXTJOIN("", TRUE, I250:S250)</f>
        <v/>
      </c>
      <c r="C250" s="21">
        <f>IF(ISBLANK(X250),"", _xlfn.TEXTJOIN("",TRUE,T250:Z250))</f>
        <v/>
      </c>
      <c r="D250" s="21">
        <f>IF(ISBLANK(AB250), "", _xlfn.TEXTJOIN("", TRUE, AA250:AC250))</f>
        <v/>
      </c>
      <c r="E250" s="22">
        <f>IF(AU250="NA", _xlfn.TEXTJOIN("", TRUE, AD250:AH250), _xlfn.TEXTJOIN("", TRUE, AD250:AJ250))</f>
        <v/>
      </c>
      <c r="F250" s="42">
        <f>IF(LEFT(G250,4)="FY26","&lt;b&gt;","&lt;i&gt;")</f>
        <v/>
      </c>
      <c r="G250" s="42" t="inlineStr">
        <is>
          <t>FY27 Enhancement</t>
        </is>
      </c>
      <c r="H250" s="42">
        <f>IF(LEFT(G250,4)="FY26","&lt;/b&gt;","&lt;/i&gt;")</f>
        <v/>
      </c>
      <c r="I250" s="43" t="inlineStr">
        <is>
          <t>&lt;i&gt;</t>
        </is>
      </c>
      <c r="J250" s="44" t="inlineStr">
        <is>
          <t>Natural Resources</t>
        </is>
      </c>
      <c r="K250" s="44" t="inlineStr">
        <is>
          <t>&lt;/i&gt;</t>
        </is>
      </c>
      <c r="L250" s="4">
        <f>IF(ISBLANK(N250),"","&lt;br&gt;")</f>
        <v/>
      </c>
      <c r="M250" s="42">
        <f>IF(ISBLANK(R250),"&lt;b&gt;","&lt;i&gt;")</f>
        <v/>
      </c>
      <c r="N250" s="42" t="inlineStr">
        <is>
          <t>Dept. of Environmental Quality</t>
        </is>
      </c>
      <c r="O250" s="42">
        <f>IF(ISBLANK(R250),"&lt;/b&gt;","&lt;/i&gt;")</f>
        <v/>
      </c>
      <c r="P250" s="4">
        <f>IF(ISBLANK(R250),"","&lt;br&gt;")</f>
        <v/>
      </c>
      <c r="Q250" s="42">
        <f>IF(ISBLANK(R250),"","&lt;b&gt;")</f>
        <v/>
      </c>
      <c r="R250" s="42" t="n"/>
      <c r="S250" s="42">
        <f>IF(ISBLANK(R250),"","&lt;/i&gt;")</f>
        <v/>
      </c>
      <c r="T250" s="42">
        <f>IF(ISBLANK(X250),"",IF(OR(AB250="PASSED",ISBLANK(N250)),"&lt;b&gt;","&lt;i&gt;"))</f>
        <v/>
      </c>
      <c r="U250" s="3">
        <f>IF(ISBLANK(V250),"","&lt;a href='")</f>
        <v/>
      </c>
      <c r="V250" s="13" t="inlineStr">
        <is>
          <t>https://legislature.idaho.gov/sessioninfo/rs/</t>
        </is>
      </c>
      <c r="W250" s="17">
        <f>IF(ISBLANK(V250),"","'&gt;")</f>
        <v/>
      </c>
      <c r="X250" s="12" t="inlineStr">
        <is>
          <t>Enhancement</t>
        </is>
      </c>
      <c r="Y250" s="17">
        <f>IF(ISBLANK(X250),"","&lt;/a&gt;")</f>
        <v/>
      </c>
      <c r="Z250" s="42">
        <f>IF(ISBLANK(X250),"",IF(OR(AB250="PASSED",ISBLANK(N250)),"&lt;/b&gt;","&lt;/i&gt;"))</f>
        <v/>
      </c>
      <c r="AA250" s="43">
        <f>IF(AB250="PASSED","&lt;b&gt;","")</f>
        <v/>
      </c>
      <c r="AB250" s="45" t="inlineStr">
        <is>
          <t>INTRODUCED</t>
        </is>
      </c>
      <c r="AC250" s="43">
        <f>IF(AB250="PASSED","&lt;/b&gt;","")</f>
        <v/>
      </c>
      <c r="AD250" s="43">
        <f>IF(ISBLANK(AE250),"","&lt;b&gt;")</f>
        <v/>
      </c>
      <c r="AE250" s="51" t="inlineStr">
        <is>
          <t>03/09</t>
        </is>
      </c>
      <c r="AF250" s="42">
        <f>IF(ISBLANK(AE250),"",": ")</f>
        <v/>
      </c>
      <c r="AG250" s="42" t="inlineStr">
        <is>
          <t>JFAC Budget Setting</t>
        </is>
      </c>
      <c r="AH250" s="42">
        <f>IF(ISBLANK(AE250),"","&lt;/b&gt;")</f>
        <v/>
      </c>
      <c r="AI250" s="42" t="inlineStr">
        <is>
          <t>02/16: JFAC Budget Hearing</t>
        </is>
      </c>
      <c r="AJ250" s="42">
        <f>IF(ISBLANK(AI250),"","&lt;br&gt;"&amp;AI250)</f>
        <v/>
      </c>
      <c r="AK250" s="42" t="n"/>
      <c r="AL250" s="42" t="n"/>
      <c r="AM250" s="42" t="n"/>
      <c r="AN250" s="42">
        <f>IF(ISBLANK(AM250),"","&lt;/i&gt;")</f>
        <v/>
      </c>
      <c r="AO250" s="35">
        <f>IF(ISBLANK(AQ250),"","&lt;/b&gt;&lt;br&gt;&lt;br&gt;")</f>
        <v/>
      </c>
      <c r="AP250" s="42">
        <f>IF(ISBLANK(AQ250),"","&lt;b&gt;")</f>
        <v/>
      </c>
      <c r="AQ250" s="42" t="n"/>
      <c r="AR250" s="4" t="n"/>
      <c r="AS250" s="4">
        <f>IF(ISBLANK(AR250),""," %")</f>
        <v/>
      </c>
      <c r="AT250" s="4">
        <f t="array" ref="AT250">_xlfn.IFS(NOT(ISBLANK(AU250))," (pgs. ",NOT(ISBLANK(AS250))," (pg. ", ISBLANK(AS250), "")</f>
        <v/>
      </c>
      <c r="AU250" s="42" t="n"/>
      <c r="AV250" s="4">
        <f>IF(ISBLANK(AW250),"",", ")</f>
        <v/>
      </c>
      <c r="AW250" s="42" t="n"/>
      <c r="AX250" s="4">
        <f>IF(ISBLANK(AY250),"",",&lt;br&gt;")</f>
        <v/>
      </c>
      <c r="AY250" s="42" t="n"/>
      <c r="AZ250" s="49">
        <f>IF(ISBLANK(AU250),"",")&lt;/b&gt;")</f>
        <v/>
      </c>
      <c r="BA250" s="4">
        <f>IF(ISBLANK(BC250),"","&lt;br&gt;")</f>
        <v/>
      </c>
      <c r="BB250" s="42">
        <f t="array" ref="BB250">IF(ISBLANK(BC250),"",_xlfn.LET(
_xlpm.words,_xlfn.TEXTSPLIT(TRIM(BC250),"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50" s="50" t="n"/>
    </row>
    <row r="251">
      <c r="A251" s="20">
        <f>_xlfn.TEXTJOIN("", TRUE, F251:H251)</f>
        <v/>
      </c>
      <c r="B251" s="21">
        <f>_xlfn.TEXTJOIN("", TRUE, I251:S251)</f>
        <v/>
      </c>
      <c r="C251" s="21">
        <f>IF(ISBLANK(X251),"", _xlfn.TEXTJOIN("",TRUE,T251:Z251))</f>
        <v/>
      </c>
      <c r="D251" s="21">
        <f>IF(ISBLANK(AB251), "", _xlfn.TEXTJOIN("", TRUE, AA251:AC251))</f>
        <v/>
      </c>
      <c r="E251" s="22">
        <f>IF(AU251="NA", _xlfn.TEXTJOIN("", TRUE, AD251:AH251), _xlfn.TEXTJOIN("", TRUE, AD251:AJ251))</f>
        <v/>
      </c>
      <c r="F251" s="42">
        <f>IF(LEFT(G251,4)="FY26","&lt;b&gt;","&lt;i&gt;")</f>
        <v/>
      </c>
      <c r="G251" s="42" t="inlineStr">
        <is>
          <t>FY27 Enhancement</t>
        </is>
      </c>
      <c r="H251" s="42">
        <f>IF(LEFT(G251,4)="FY26","&lt;/b&gt;","&lt;/i&gt;")</f>
        <v/>
      </c>
      <c r="I251" s="43" t="inlineStr">
        <is>
          <t>&lt;i&gt;</t>
        </is>
      </c>
      <c r="J251" s="44" t="inlineStr">
        <is>
          <t>Natural Resources</t>
        </is>
      </c>
      <c r="K251" s="44" t="inlineStr">
        <is>
          <t>&lt;/i&gt;</t>
        </is>
      </c>
      <c r="L251" s="4">
        <f>IF(ISBLANK(N251),"","&lt;br&gt;")</f>
        <v/>
      </c>
      <c r="M251" s="42">
        <f>IF(ISBLANK(R251),"&lt;b&gt;","&lt;i&gt;")</f>
        <v/>
      </c>
      <c r="N251" s="42" t="inlineStr">
        <is>
          <t>Land Board</t>
        </is>
      </c>
      <c r="O251" s="42">
        <f>IF(ISBLANK(R251),"&lt;/b&gt;","&lt;/i&gt;")</f>
        <v/>
      </c>
      <c r="P251" s="4">
        <f>IF(ISBLANK(R251),"","&lt;br&gt;")</f>
        <v/>
      </c>
      <c r="Q251" s="42">
        <f>IF(ISBLANK(R251),"","&lt;b&gt;")</f>
        <v/>
      </c>
      <c r="R251" s="42" t="inlineStr">
        <is>
          <t>Dept. of Lands</t>
        </is>
      </c>
      <c r="S251" s="42">
        <f>IF(ISBLANK(R251),"","&lt;/i&gt;")</f>
        <v/>
      </c>
      <c r="T251" s="42">
        <f>IF(ISBLANK(X251),"",IF(OR(AB251="PASSED",ISBLANK(N251)),"&lt;b&gt;","&lt;i&gt;"))</f>
        <v/>
      </c>
      <c r="U251" s="3">
        <f>IF(ISBLANK(V251),"","&lt;a href='")</f>
        <v/>
      </c>
      <c r="V251" s="13" t="inlineStr">
        <is>
          <t>https://legislature.idaho.gov/sessioninfo/rs/</t>
        </is>
      </c>
      <c r="W251" s="17">
        <f>IF(ISBLANK(V251),"","'&gt;")</f>
        <v/>
      </c>
      <c r="X251" s="12" t="inlineStr">
        <is>
          <t>Enhancement</t>
        </is>
      </c>
      <c r="Y251" s="17">
        <f>IF(ISBLANK(X251),"","&lt;/a&gt;")</f>
        <v/>
      </c>
      <c r="Z251" s="42">
        <f>IF(ISBLANK(X251),"",IF(OR(AB251="PASSED",ISBLANK(N251)),"&lt;/b&gt;","&lt;/i&gt;"))</f>
        <v/>
      </c>
      <c r="AA251" s="43">
        <f>IF(AB251="PASSED","&lt;b&gt;","")</f>
        <v/>
      </c>
      <c r="AB251" s="45" t="inlineStr">
        <is>
          <t>INTRODUCED</t>
        </is>
      </c>
      <c r="AC251" s="43">
        <f>IF(AB251="PASSED","&lt;/b&gt;","")</f>
        <v/>
      </c>
      <c r="AD251" s="43">
        <f>IF(ISBLANK(AE251),"","&lt;b&gt;")</f>
        <v/>
      </c>
      <c r="AE251" s="51" t="inlineStr">
        <is>
          <t>03/09</t>
        </is>
      </c>
      <c r="AF251" s="42">
        <f>IF(ISBLANK(AE251),"",": ")</f>
        <v/>
      </c>
      <c r="AG251" s="42" t="inlineStr">
        <is>
          <t>JFAC Budget Setting</t>
        </is>
      </c>
      <c r="AH251" s="42">
        <f>IF(ISBLANK(AE251),"","&lt;/b&gt;")</f>
        <v/>
      </c>
      <c r="AI251" s="42" t="inlineStr">
        <is>
          <t>03/04: JFAC Budget Setting&lt;br&gt;02/16: JFAC Budget Hearing</t>
        </is>
      </c>
      <c r="AJ251" s="42">
        <f>IF(ISBLANK(AI251),"","&lt;br&gt;"&amp;AI251)</f>
        <v/>
      </c>
      <c r="AK251" s="42" t="n"/>
      <c r="AL251" s="42" t="n"/>
      <c r="AM251" s="42" t="n"/>
      <c r="AN251" s="42">
        <f>IF(ISBLANK(AM251),"","&lt;/i&gt;")</f>
        <v/>
      </c>
      <c r="AO251" s="35">
        <f>IF(ISBLANK(AQ251),"","&lt;/b&gt;&lt;br&gt;&lt;br&gt;")</f>
        <v/>
      </c>
      <c r="AP251" s="42">
        <f>IF(ISBLANK(AQ251),"","&lt;b&gt;")</f>
        <v/>
      </c>
      <c r="AQ251" s="42" t="n"/>
      <c r="AR251" s="4" t="n"/>
      <c r="AS251" s="4">
        <f>IF(ISBLANK(AR251),""," %")</f>
        <v/>
      </c>
      <c r="AT251" s="4">
        <f t="array" ref="AT251">_xlfn.IFS(NOT(ISBLANK(AU251))," (pgs. ",NOT(ISBLANK(AS251))," (pg. ", ISBLANK(AS251), "")</f>
        <v/>
      </c>
      <c r="AU251" s="42" t="n"/>
      <c r="AV251" s="4">
        <f>IF(ISBLANK(AW251),"",", ")</f>
        <v/>
      </c>
      <c r="AW251" s="42" t="n"/>
      <c r="AX251" s="4">
        <f>IF(ISBLANK(AY251),"",",&lt;br&gt;")</f>
        <v/>
      </c>
      <c r="AY251" s="42" t="n"/>
      <c r="AZ251" s="49">
        <f>IF(ISBLANK(AU251),"",")&lt;/b&gt;")</f>
        <v/>
      </c>
      <c r="BA251" s="4">
        <f>IF(ISBLANK(BC251),"","&lt;br&gt;")</f>
        <v/>
      </c>
      <c r="BB251" s="42">
        <f t="array" ref="BB251">IF(ISBLANK(BC251),"",_xlfn.LET(
_xlpm.words,_xlfn.TEXTSPLIT(TRIM(BC251),"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51" s="50" t="n"/>
    </row>
    <row r="252">
      <c r="A252" s="20">
        <f>_xlfn.TEXTJOIN("", TRUE, F252:H252)</f>
        <v/>
      </c>
      <c r="B252" s="21">
        <f>_xlfn.TEXTJOIN("", TRUE, I252:S252)</f>
        <v/>
      </c>
      <c r="C252" s="21">
        <f>IF(ISBLANK(X252),"", _xlfn.TEXTJOIN("",TRUE,T252:Z252))</f>
        <v/>
      </c>
      <c r="D252" s="21">
        <f>IF(ISBLANK(AB252), "", _xlfn.TEXTJOIN("", TRUE, AA252:AC252))</f>
        <v/>
      </c>
      <c r="E252" s="22">
        <f>IF(AU252="NA", _xlfn.TEXTJOIN("", TRUE, AD252:AH252), _xlfn.TEXTJOIN("", TRUE, AD252:AJ252))</f>
        <v/>
      </c>
      <c r="F252" s="42">
        <f>IF(LEFT(G252,4)="FY26","&lt;b&gt;","&lt;i&gt;")</f>
        <v/>
      </c>
      <c r="G252" s="42" t="inlineStr">
        <is>
          <t>FY27 Enhancement</t>
        </is>
      </c>
      <c r="H252" s="42">
        <f>IF(LEFT(G252,4)="FY26","&lt;/b&gt;","&lt;/i&gt;")</f>
        <v/>
      </c>
      <c r="I252" s="43" t="inlineStr">
        <is>
          <t>&lt;i&gt;</t>
        </is>
      </c>
      <c r="J252" s="44" t="inlineStr">
        <is>
          <t>Public Schools</t>
        </is>
      </c>
      <c r="K252" s="44" t="inlineStr">
        <is>
          <t>&lt;/i&gt;</t>
        </is>
      </c>
      <c r="L252" s="4">
        <f>IF(ISBLANK(N252),"","&lt;br&gt;")</f>
        <v/>
      </c>
      <c r="M252" s="42">
        <f>IF(ISBLANK(R252),"&lt;b&gt;","&lt;i&gt;")</f>
        <v/>
      </c>
      <c r="N252" s="42" t="inlineStr">
        <is>
          <t>Services for the Deaf &amp; the Blind</t>
        </is>
      </c>
      <c r="O252" s="42">
        <f>IF(ISBLANK(R252),"&lt;/b&gt;","&lt;/i&gt;")</f>
        <v/>
      </c>
      <c r="P252" s="4">
        <f>IF(ISBLANK(R252),"","&lt;br&gt;")</f>
        <v/>
      </c>
      <c r="Q252" s="42">
        <f>IF(ISBLANK(R252),"","&lt;b&gt;")</f>
        <v/>
      </c>
      <c r="R252" s="42" t="n"/>
      <c r="S252" s="42">
        <f>IF(ISBLANK(R252),"","&lt;/i&gt;")</f>
        <v/>
      </c>
      <c r="T252" s="42">
        <f>IF(ISBLANK(X252),"",IF(OR(AB252="PASSED",ISBLANK(N252)),"&lt;b&gt;","&lt;i&gt;"))</f>
        <v/>
      </c>
      <c r="U252" s="3">
        <f>IF(ISBLANK(V252),"","&lt;a href='")</f>
        <v/>
      </c>
      <c r="V252" s="13" t="inlineStr">
        <is>
          <t>https://legislature.idaho.gov/sessioninfo/rs/</t>
        </is>
      </c>
      <c r="W252" s="17">
        <f>IF(ISBLANK(V252),"","'&gt;")</f>
        <v/>
      </c>
      <c r="X252" s="12" t="inlineStr">
        <is>
          <t>Enhancement</t>
        </is>
      </c>
      <c r="Y252" s="17">
        <f>IF(ISBLANK(X252),"","&lt;/a&gt;")</f>
        <v/>
      </c>
      <c r="Z252" s="42">
        <f>IF(ISBLANK(X252),"",IF(OR(AB252="PASSED",ISBLANK(N252)),"&lt;/b&gt;","&lt;/i&gt;"))</f>
        <v/>
      </c>
      <c r="AA252" s="43">
        <f>IF(AB252="PASSED","&lt;b&gt;","")</f>
        <v/>
      </c>
      <c r="AB252" s="45" t="inlineStr">
        <is>
          <t>INTRODUCED</t>
        </is>
      </c>
      <c r="AC252" s="43">
        <f>IF(AB252="PASSED","&lt;/b&gt;","")</f>
        <v/>
      </c>
      <c r="AD252" s="43">
        <f>IF(ISBLANK(AE252),"","&lt;b&gt;")</f>
        <v/>
      </c>
      <c r="AE252" s="51" t="inlineStr">
        <is>
          <t>03/09</t>
        </is>
      </c>
      <c r="AF252" s="42">
        <f>IF(ISBLANK(AE252),"",": ")</f>
        <v/>
      </c>
      <c r="AG252" s="42" t="inlineStr">
        <is>
          <t>JFAC Budget Setting</t>
        </is>
      </c>
      <c r="AH252" s="42">
        <f>IF(ISBLANK(AE252),"","&lt;/b&gt;")</f>
        <v/>
      </c>
      <c r="AI252" s="42" t="inlineStr">
        <is>
          <t>01/21: JFAC Budget Hearing</t>
        </is>
      </c>
      <c r="AJ252" s="42">
        <f>IF(ISBLANK(AI252),"","&lt;br&gt;"&amp;AI252)</f>
        <v/>
      </c>
      <c r="AK252" s="42" t="n"/>
      <c r="AL252" s="42" t="n"/>
      <c r="AM252" s="42" t="n"/>
      <c r="AN252" s="42">
        <f>IF(ISBLANK(AM252),"","&lt;/i&gt;")</f>
        <v/>
      </c>
      <c r="AO252" s="35">
        <f>IF(ISBLANK(AQ252),"","&lt;/b&gt;&lt;br&gt;&lt;br&gt;")</f>
        <v/>
      </c>
      <c r="AP252" s="42">
        <f>IF(ISBLANK(AQ252),"","&lt;b&gt;")</f>
        <v/>
      </c>
      <c r="AQ252" s="42" t="n"/>
      <c r="AR252" s="4" t="n"/>
      <c r="AS252" s="4">
        <f>IF(ISBLANK(AR252),""," %")</f>
        <v/>
      </c>
      <c r="AT252" s="4">
        <f t="array" ref="AT252">_xlfn.IFS(NOT(ISBLANK(AU252))," (pgs. ",NOT(ISBLANK(AS252))," (pg. ", ISBLANK(AS252), "")</f>
        <v/>
      </c>
      <c r="AU252" s="42" t="n"/>
      <c r="AV252" s="4">
        <f>IF(ISBLANK(AW252),"",", ")</f>
        <v/>
      </c>
      <c r="AW252" s="42" t="n"/>
      <c r="AX252" s="4">
        <f>IF(ISBLANK(AY252),"",",&lt;br&gt;")</f>
        <v/>
      </c>
      <c r="AY252" s="42" t="n"/>
      <c r="AZ252" s="49">
        <f>IF(ISBLANK(AU252),"",")&lt;/b&gt;")</f>
        <v/>
      </c>
      <c r="BA252" s="4">
        <f>IF(ISBLANK(BC252),"","&lt;br&gt;")</f>
        <v/>
      </c>
      <c r="BB252" s="42">
        <f t="array" ref="BB252">IF(ISBLANK(BC252),"",_xlfn.LET(
_xlpm.words,_xlfn.TEXTSPLIT(TRIM(BC252),"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52" s="50" t="n"/>
    </row>
    <row r="253">
      <c r="A253" s="20">
        <f>_xlfn.TEXTJOIN("", TRUE, F253:H253)</f>
        <v/>
      </c>
      <c r="B253" s="21">
        <f>_xlfn.TEXTJOIN("", TRUE, I253:S253)</f>
        <v/>
      </c>
      <c r="C253" s="21">
        <f>IF(ISBLANK(X253),"", _xlfn.TEXTJOIN("",TRUE,T253:Z253))</f>
        <v/>
      </c>
      <c r="D253" s="21">
        <f>IF(ISBLANK(AB253), "", _xlfn.TEXTJOIN("", TRUE, AA253:AC253))</f>
        <v/>
      </c>
      <c r="E253" s="22">
        <f>IF(AU253="NA", _xlfn.TEXTJOIN("", TRUE, AD253:AH253), _xlfn.TEXTJOIN("", TRUE, AD253:AJ253))</f>
        <v/>
      </c>
      <c r="F253" s="42">
        <f>IF(LEFT(G253,4)="FY26","&lt;b&gt;","&lt;i&gt;")</f>
        <v/>
      </c>
      <c r="G253" s="42" t="inlineStr">
        <is>
          <t>FY27 Enhancement</t>
        </is>
      </c>
      <c r="H253" s="42">
        <f>IF(LEFT(G253,4)="FY26","&lt;/b&gt;","&lt;/i&gt;")</f>
        <v/>
      </c>
      <c r="I253" s="43" t="inlineStr">
        <is>
          <t>&lt;i&gt;</t>
        </is>
      </c>
      <c r="J253" s="44" t="inlineStr">
        <is>
          <t>State Board of Education</t>
        </is>
      </c>
      <c r="K253" s="44" t="inlineStr">
        <is>
          <t>&lt;/i&gt;</t>
        </is>
      </c>
      <c r="L253" s="4">
        <f>IF(ISBLANK(N253),"","&lt;br&gt;")</f>
        <v/>
      </c>
      <c r="M253" s="42">
        <f>IF(ISBLANK(R253),"&lt;b&gt;","&lt;i&gt;")</f>
        <v/>
      </c>
      <c r="N253" s="42" t="inlineStr">
        <is>
          <t>Dept. of Education</t>
        </is>
      </c>
      <c r="O253" s="42">
        <f>IF(ISBLANK(R253),"&lt;/b&gt;","&lt;/i&gt;")</f>
        <v/>
      </c>
      <c r="P253" s="4">
        <f>IF(ISBLANK(R253),"","&lt;br&gt;")</f>
        <v/>
      </c>
      <c r="Q253" s="42">
        <f>IF(ISBLANK(R253),"","&lt;b&gt;")</f>
        <v/>
      </c>
      <c r="R253" s="42" t="n"/>
      <c r="S253" s="42">
        <f>IF(ISBLANK(R253),"","&lt;/i&gt;")</f>
        <v/>
      </c>
      <c r="T253" s="42">
        <f>IF(ISBLANK(X253),"",IF(OR(AB253="PASSED",ISBLANK(N253)),"&lt;b&gt;","&lt;i&gt;"))</f>
        <v/>
      </c>
      <c r="U253" s="3">
        <f>IF(ISBLANK(V253),"","&lt;a href='")</f>
        <v/>
      </c>
      <c r="V253" s="13" t="inlineStr">
        <is>
          <t>https://legislature.idaho.gov/sessioninfo/rs/</t>
        </is>
      </c>
      <c r="W253" s="17">
        <f>IF(ISBLANK(V253),"","'&gt;")</f>
        <v/>
      </c>
      <c r="X253" s="12" t="inlineStr">
        <is>
          <t>Enhancement</t>
        </is>
      </c>
      <c r="Y253" s="17">
        <f>IF(ISBLANK(X253),"","&lt;/a&gt;")</f>
        <v/>
      </c>
      <c r="Z253" s="42">
        <f>IF(ISBLANK(X253),"",IF(OR(AB253="PASSED",ISBLANK(N253)),"&lt;/b&gt;","&lt;/i&gt;"))</f>
        <v/>
      </c>
      <c r="AA253" s="43">
        <f>IF(AB253="PASSED","&lt;b&gt;","")</f>
        <v/>
      </c>
      <c r="AB253" s="45" t="inlineStr">
        <is>
          <t>INTRODUCED</t>
        </is>
      </c>
      <c r="AC253" s="43">
        <f>IF(AB253="PASSED","&lt;/b&gt;","")</f>
        <v/>
      </c>
      <c r="AD253" s="43">
        <f>IF(ISBLANK(AE253),"","&lt;b&gt;")</f>
        <v/>
      </c>
      <c r="AE253" s="51" t="inlineStr">
        <is>
          <t>03/09</t>
        </is>
      </c>
      <c r="AF253" s="42">
        <f>IF(ISBLANK(AE253),"",": ")</f>
        <v/>
      </c>
      <c r="AG253" s="42" t="inlineStr">
        <is>
          <t>JFAC Budget Setting</t>
        </is>
      </c>
      <c r="AH253" s="42">
        <f>IF(ISBLANK(AE253),"","&lt;/b&gt;")</f>
        <v/>
      </c>
      <c r="AI253" s="42" t="inlineStr">
        <is>
          <t>01/21: JFAC Budget Hearing</t>
        </is>
      </c>
      <c r="AJ253" s="42">
        <f>IF(ISBLANK(AI253),"","&lt;br&gt;"&amp;AI253)</f>
        <v/>
      </c>
      <c r="AK253" s="42" t="n"/>
      <c r="AL253" s="42" t="n"/>
      <c r="AM253" s="42" t="n"/>
      <c r="AN253" s="42">
        <f>IF(ISBLANK(AM253),"","&lt;/i&gt;")</f>
        <v/>
      </c>
      <c r="AO253" s="35">
        <f>IF(ISBLANK(AQ253),"","&lt;/b&gt;&lt;br&gt;&lt;br&gt;")</f>
        <v/>
      </c>
      <c r="AP253" s="42">
        <f>IF(ISBLANK(AQ253),"","&lt;b&gt;")</f>
        <v/>
      </c>
      <c r="AQ253" s="42" t="n"/>
      <c r="AR253" s="4" t="n"/>
      <c r="AS253" s="4">
        <f>IF(ISBLANK(AR253),""," %")</f>
        <v/>
      </c>
      <c r="AT253" s="4">
        <f t="array" ref="AT253">_xlfn.IFS(NOT(ISBLANK(AU253))," (pgs. ",NOT(ISBLANK(AS253))," (pg. ", ISBLANK(AS253), "")</f>
        <v/>
      </c>
      <c r="AU253" s="42" t="n"/>
      <c r="AV253" s="4">
        <f>IF(ISBLANK(AW253),"",", ")</f>
        <v/>
      </c>
      <c r="AW253" s="42" t="n"/>
      <c r="AX253" s="4">
        <f>IF(ISBLANK(AY253),"",",&lt;br&gt;")</f>
        <v/>
      </c>
      <c r="AY253" s="42" t="n"/>
      <c r="AZ253" s="49">
        <f>IF(ISBLANK(AU253),"",")&lt;/b&gt;")</f>
        <v/>
      </c>
      <c r="BA253" s="4">
        <f>IF(ISBLANK(BC253),"","&lt;br&gt;")</f>
        <v/>
      </c>
      <c r="BB253" s="42">
        <f t="array" ref="BB253">IF(ISBLANK(BC253),"",_xlfn.LET(
_xlpm.words,_xlfn.TEXTSPLIT(TRIM(BC253),"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53" s="50" t="n"/>
    </row>
    <row r="254">
      <c r="A254" s="20">
        <f>_xlfn.TEXTJOIN("", TRUE, F254:H254)</f>
        <v/>
      </c>
      <c r="B254" s="21">
        <f>_xlfn.TEXTJOIN("", TRUE, I254:S254)</f>
        <v/>
      </c>
      <c r="C254" s="21">
        <f>IF(ISBLANK(X254),"", _xlfn.TEXTJOIN("",TRUE,T254:Z254))</f>
        <v/>
      </c>
      <c r="D254" s="21">
        <f>IF(ISBLANK(AB254), "", _xlfn.TEXTJOIN("", TRUE, AA254:AC254))</f>
        <v/>
      </c>
      <c r="E254" s="22">
        <f>IF(AU254="NA", _xlfn.TEXTJOIN("", TRUE, AD254:AH254), _xlfn.TEXTJOIN("", TRUE, AD254:AJ254))</f>
        <v/>
      </c>
      <c r="F254" s="42">
        <f>IF(LEFT(G254,4)="FY26","&lt;b&gt;","&lt;i&gt;")</f>
        <v/>
      </c>
      <c r="G254" s="42" t="inlineStr">
        <is>
          <t>FY27 Enhancement</t>
        </is>
      </c>
      <c r="H254" s="42">
        <f>IF(LEFT(G254,4)="FY26","&lt;/b&gt;","&lt;/i&gt;")</f>
        <v/>
      </c>
      <c r="I254" s="43" t="inlineStr">
        <is>
          <t>&lt;i&gt;</t>
        </is>
      </c>
      <c r="J254" s="44" t="inlineStr">
        <is>
          <t>General Government</t>
        </is>
      </c>
      <c r="K254" s="44" t="inlineStr">
        <is>
          <t>&lt;/i&gt;</t>
        </is>
      </c>
      <c r="L254" s="4">
        <f>IF(ISBLANK(N254),"","&lt;br&gt;")</f>
        <v/>
      </c>
      <c r="M254" s="42">
        <f>IF(ISBLANK(R254),"&lt;b&gt;","&lt;i&gt;")</f>
        <v/>
      </c>
      <c r="N254" s="42" t="inlineStr">
        <is>
          <t>Dept. of Administration</t>
        </is>
      </c>
      <c r="O254" s="42">
        <f>IF(ISBLANK(R254),"&lt;/b&gt;","&lt;/i&gt;")</f>
        <v/>
      </c>
      <c r="P254" s="4">
        <f>IF(ISBLANK(R254),"","&lt;br&gt;")</f>
        <v/>
      </c>
      <c r="Q254" s="42">
        <f>IF(ISBLANK(R254),"","&lt;b&gt;")</f>
        <v/>
      </c>
      <c r="R254" s="42" t="n"/>
      <c r="S254" s="42">
        <f>IF(ISBLANK(R254),"","&lt;/i&gt;")</f>
        <v/>
      </c>
      <c r="T254" s="42">
        <f>IF(ISBLANK(X254),"",IF(OR(AB254="PASSED",ISBLANK(N254)),"&lt;b&gt;","&lt;i&gt;"))</f>
        <v/>
      </c>
      <c r="U254" s="3">
        <f>IF(ISBLANK(V254),"","&lt;a href='")</f>
        <v/>
      </c>
      <c r="V254" s="13" t="inlineStr">
        <is>
          <t>https://legislature.idaho.gov/sessioninfo/rs/</t>
        </is>
      </c>
      <c r="W254" s="17">
        <f>IF(ISBLANK(V254),"","'&gt;")</f>
        <v/>
      </c>
      <c r="X254" s="12" t="inlineStr">
        <is>
          <t>Enhancement</t>
        </is>
      </c>
      <c r="Y254" s="17">
        <f>IF(ISBLANK(X254),"","&lt;/a&gt;")</f>
        <v/>
      </c>
      <c r="Z254" s="42">
        <f>IF(ISBLANK(X254),"",IF(OR(AB254="PASSED",ISBLANK(N254)),"&lt;/b&gt;","&lt;/i&gt;"))</f>
        <v/>
      </c>
      <c r="AA254" s="43">
        <f>IF(AB254="PASSED","&lt;b&gt;","")</f>
        <v/>
      </c>
      <c r="AB254" s="45" t="inlineStr">
        <is>
          <t>INTRODUCED</t>
        </is>
      </c>
      <c r="AC254" s="43">
        <f>IF(AB254="PASSED","&lt;/b&gt;","")</f>
        <v/>
      </c>
      <c r="AD254" s="43">
        <f>IF(ISBLANK(AE254),"","&lt;b&gt;")</f>
        <v/>
      </c>
      <c r="AE254" s="51" t="inlineStr">
        <is>
          <t>03/06</t>
        </is>
      </c>
      <c r="AF254" s="42">
        <f>IF(ISBLANK(AE254),"",": ")</f>
        <v/>
      </c>
      <c r="AG254" s="42" t="inlineStr">
        <is>
          <t>JFAC Budget Setting</t>
        </is>
      </c>
      <c r="AH254" s="42">
        <f>IF(ISBLANK(AE254),"","&lt;/b&gt;")</f>
        <v/>
      </c>
      <c r="AI254" s="42" t="inlineStr">
        <is>
          <t>03/02: JFAC Budget Setting&lt;br&gt;02/17: JFAC Budget Hearing</t>
        </is>
      </c>
      <c r="AJ254" s="42">
        <f>IF(ISBLANK(AI254),"","&lt;br&gt;"&amp;AI254)</f>
        <v/>
      </c>
      <c r="AK254" s="42" t="n"/>
      <c r="AL254" s="42" t="n"/>
      <c r="AM254" s="42" t="n"/>
      <c r="AN254" s="42">
        <f>IF(ISBLANK(AM254),"","&lt;/i&gt;")</f>
        <v/>
      </c>
      <c r="AO254" s="35">
        <f>IF(ISBLANK(AQ254),"","&lt;/b&gt;&lt;br&gt;&lt;br&gt;")</f>
        <v/>
      </c>
      <c r="AP254" s="42">
        <f>IF(ISBLANK(AQ254),"","&lt;b&gt;")</f>
        <v/>
      </c>
      <c r="AQ254" s="42" t="n"/>
      <c r="AR254" s="4" t="n"/>
      <c r="AS254" s="4">
        <f>IF(ISBLANK(AR254),""," %")</f>
        <v/>
      </c>
      <c r="AT254" s="4">
        <f t="array" ref="AT254">_xlfn.IFS(NOT(ISBLANK(AU254))," (pgs. ",NOT(ISBLANK(AS254))," (pg. ", ISBLANK(AS254), "")</f>
        <v/>
      </c>
      <c r="AU254" s="42" t="n"/>
      <c r="AV254" s="4">
        <f>IF(ISBLANK(AW254),"",", ")</f>
        <v/>
      </c>
      <c r="AW254" s="42" t="n"/>
      <c r="AX254" s="4">
        <f>IF(ISBLANK(AY254),"",",&lt;br&gt;")</f>
        <v/>
      </c>
      <c r="AY254" s="42" t="n"/>
      <c r="AZ254" s="49">
        <f>IF(ISBLANK(AU254),"",")&lt;/b&gt;")</f>
        <v/>
      </c>
      <c r="BA254" s="4">
        <f>IF(ISBLANK(BC254),"","&lt;br&gt;")</f>
        <v/>
      </c>
      <c r="BB254" s="42">
        <f t="array" ref="BB254">IF(ISBLANK(BC254),"",_xlfn.LET(
_xlpm.words,_xlfn.TEXTSPLIT(TRIM(BC254),"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54" s="50" t="n"/>
    </row>
    <row r="255">
      <c r="A255" s="20">
        <f>_xlfn.TEXTJOIN("", TRUE, F255:H255)</f>
        <v/>
      </c>
      <c r="B255" s="21">
        <f>_xlfn.TEXTJOIN("", TRUE, I255:S255)</f>
        <v/>
      </c>
      <c r="C255" s="21">
        <f>IF(ISBLANK(X255),"", _xlfn.TEXTJOIN("",TRUE,T255:Z255))</f>
        <v/>
      </c>
      <c r="D255" s="21">
        <f>IF(ISBLANK(AB255), "", _xlfn.TEXTJOIN("", TRUE, AA255:AC255))</f>
        <v/>
      </c>
      <c r="E255" s="22">
        <f>IF(AU255="NA", _xlfn.TEXTJOIN("", TRUE, AD255:AH255), _xlfn.TEXTJOIN("", TRUE, AD255:AJ255))</f>
        <v/>
      </c>
      <c r="F255" s="42">
        <f>IF(LEFT(G255,4)="FY26","&lt;b&gt;","&lt;i&gt;")</f>
        <v/>
      </c>
      <c r="G255" s="42" t="inlineStr">
        <is>
          <t>FY27 Enhancement</t>
        </is>
      </c>
      <c r="H255" s="42">
        <f>IF(LEFT(G255,4)="FY26","&lt;/b&gt;","&lt;/i&gt;")</f>
        <v/>
      </c>
      <c r="I255" s="43" t="inlineStr">
        <is>
          <t>&lt;i&gt;</t>
        </is>
      </c>
      <c r="J255" s="44" t="inlineStr">
        <is>
          <t>General Government</t>
        </is>
      </c>
      <c r="K255" s="44" t="inlineStr">
        <is>
          <t>&lt;/i&gt;</t>
        </is>
      </c>
      <c r="L255" s="4">
        <f>IF(ISBLANK(N255),"","&lt;br&gt;")</f>
        <v/>
      </c>
      <c r="M255" s="42">
        <f>IF(ISBLANK(R255),"&lt;b&gt;","&lt;i&gt;")</f>
        <v/>
      </c>
      <c r="N255" s="42" t="inlineStr">
        <is>
          <t>Office of the Governor</t>
        </is>
      </c>
      <c r="O255" s="42">
        <f>IF(ISBLANK(R255),"&lt;/b&gt;","&lt;/i&gt;")</f>
        <v/>
      </c>
      <c r="P255" s="4">
        <f>IF(ISBLANK(R255),"","&lt;br&gt;")</f>
        <v/>
      </c>
      <c r="Q255" s="42">
        <f>IF(ISBLANK(R255),"","&lt;b&gt;")</f>
        <v/>
      </c>
      <c r="R255" s="42" t="inlineStr">
        <is>
          <t>Military Division</t>
        </is>
      </c>
      <c r="S255" s="42">
        <f>IF(ISBLANK(R255),"","&lt;/i&gt;")</f>
        <v/>
      </c>
      <c r="T255" s="42">
        <f>IF(ISBLANK(X255),"",IF(OR(AB255="PASSED",ISBLANK(N255)),"&lt;b&gt;","&lt;i&gt;"))</f>
        <v/>
      </c>
      <c r="U255" s="3">
        <f>IF(ISBLANK(V255),"","&lt;a href='")</f>
        <v/>
      </c>
      <c r="V255" s="13" t="inlineStr">
        <is>
          <t>https://legislature.idaho.gov/sessioninfo/rs/</t>
        </is>
      </c>
      <c r="W255" s="17">
        <f>IF(ISBLANK(V255),"","'&gt;")</f>
        <v/>
      </c>
      <c r="X255" s="12" t="inlineStr">
        <is>
          <t>Enhancement</t>
        </is>
      </c>
      <c r="Y255" s="17">
        <f>IF(ISBLANK(X255),"","&lt;/a&gt;")</f>
        <v/>
      </c>
      <c r="Z255" s="42">
        <f>IF(ISBLANK(X255),"",IF(OR(AB255="PASSED",ISBLANK(N255)),"&lt;/b&gt;","&lt;/i&gt;"))</f>
        <v/>
      </c>
      <c r="AA255" s="43">
        <f>IF(AB255="PASSED","&lt;b&gt;","")</f>
        <v/>
      </c>
      <c r="AB255" s="45" t="inlineStr">
        <is>
          <t>INTRODUCED</t>
        </is>
      </c>
      <c r="AC255" s="43">
        <f>IF(AB255="PASSED","&lt;/b&gt;","")</f>
        <v/>
      </c>
      <c r="AD255" s="43">
        <f>IF(ISBLANK(AE255),"","&lt;b&gt;")</f>
        <v/>
      </c>
      <c r="AE255" s="51" t="inlineStr">
        <is>
          <t>03/06</t>
        </is>
      </c>
      <c r="AF255" s="42">
        <f>IF(ISBLANK(AE255),"",": ")</f>
        <v/>
      </c>
      <c r="AG255" s="42" t="inlineStr">
        <is>
          <t>JFAC Budget Setting</t>
        </is>
      </c>
      <c r="AH255" s="42">
        <f>IF(ISBLANK(AE255),"","&lt;/b&gt;")</f>
        <v/>
      </c>
      <c r="AI255" s="42" t="inlineStr">
        <is>
          <t>02/27: JFAC Budget Setting&lt;br&gt;02/20: JFAC Budget Setting&lt;br&gt;01/29: JFAC Budget Hearing</t>
        </is>
      </c>
      <c r="AJ255" s="42">
        <f>IF(ISBLANK(AI255),"","&lt;br&gt;"&amp;AI255)</f>
        <v/>
      </c>
      <c r="AK255" s="42" t="n"/>
      <c r="AL255" s="42" t="n"/>
      <c r="AM255" s="42" t="n"/>
      <c r="AN255" s="42">
        <f>IF(ISBLANK(AM255),"","&lt;/i&gt;")</f>
        <v/>
      </c>
      <c r="AO255" s="35">
        <f>IF(ISBLANK(AQ255),"","&lt;/b&gt;&lt;br&gt;&lt;br&gt;")</f>
        <v/>
      </c>
      <c r="AP255" s="42">
        <f>IF(ISBLANK(AQ255),"","&lt;b&gt;")</f>
        <v/>
      </c>
      <c r="AQ255" s="42" t="n"/>
      <c r="AR255" s="4" t="n"/>
      <c r="AS255" s="4">
        <f>IF(ISBLANK(AR255),""," %")</f>
        <v/>
      </c>
      <c r="AT255" s="4">
        <f t="array" ref="AT255">_xlfn.IFS(NOT(ISBLANK(AU255))," (pgs. ",NOT(ISBLANK(AS255))," (pg. ", ISBLANK(AS255), "")</f>
        <v/>
      </c>
      <c r="AU255" s="52" t="n"/>
      <c r="AV255" s="4">
        <f>IF(ISBLANK(AW255),"",", ")</f>
        <v/>
      </c>
      <c r="AW255" s="42" t="n"/>
      <c r="AX255" s="4">
        <f>IF(ISBLANK(AY255),"",",&lt;br&gt;")</f>
        <v/>
      </c>
      <c r="AY255" s="42" t="n"/>
      <c r="AZ255" s="49">
        <f>IF(ISBLANK(AU255),"",")&lt;/b&gt;")</f>
        <v/>
      </c>
      <c r="BA255" s="4">
        <f>IF(ISBLANK(BC255),"","&lt;br&gt;")</f>
        <v/>
      </c>
      <c r="BB255" s="42">
        <f t="array" ref="BB255">IF(ISBLANK(BC255),"",_xlfn.LET(
_xlpm.words,_xlfn.TEXTSPLIT(TRIM(BC255),"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55" s="50" t="n"/>
    </row>
    <row r="256">
      <c r="A256" s="20">
        <f>_xlfn.TEXTJOIN("", TRUE, F256:H256)</f>
        <v/>
      </c>
      <c r="B256" s="21">
        <f>_xlfn.TEXTJOIN("", TRUE, I256:S256)</f>
        <v/>
      </c>
      <c r="C256" s="21">
        <f>IF(ISBLANK(X256),"", _xlfn.TEXTJOIN("",TRUE,T256:Z256))</f>
        <v/>
      </c>
      <c r="D256" s="21">
        <f>IF(ISBLANK(AB256), "", _xlfn.TEXTJOIN("", TRUE, AA256:AC256))</f>
        <v/>
      </c>
      <c r="E256" s="22">
        <f>IF(AU256="NA", _xlfn.TEXTJOIN("", TRUE, AD256:AH256), _xlfn.TEXTJOIN("", TRUE, AD256:AJ256))</f>
        <v/>
      </c>
      <c r="F256" s="42">
        <f>IF(LEFT(G256,4)="FY26","&lt;b&gt;","&lt;i&gt;")</f>
        <v/>
      </c>
      <c r="G256" s="42" t="inlineStr">
        <is>
          <t>FY27 Enhancement</t>
        </is>
      </c>
      <c r="H256" s="42">
        <f>IF(LEFT(G256,4)="FY26","&lt;/b&gt;","&lt;/i&gt;")</f>
        <v/>
      </c>
      <c r="I256" s="43" t="inlineStr">
        <is>
          <t>&lt;i&gt;</t>
        </is>
      </c>
      <c r="J256" s="44" t="inlineStr">
        <is>
          <t>Health &amp; Human Services</t>
        </is>
      </c>
      <c r="K256" s="44" t="inlineStr">
        <is>
          <t>&lt;/i&gt;</t>
        </is>
      </c>
      <c r="L256" s="4">
        <f>IF(ISBLANK(N256),"","&lt;br&gt;")</f>
        <v/>
      </c>
      <c r="M256" s="42">
        <f>IF(ISBLANK(R256),"&lt;b&gt;","&lt;i&gt;")</f>
        <v/>
      </c>
      <c r="N256" s="42" t="inlineStr">
        <is>
          <t>Dept. of Health &amp; Welfare</t>
        </is>
      </c>
      <c r="O256" s="42">
        <f>IF(ISBLANK(R256),"&lt;/b&gt;","&lt;/i&gt;")</f>
        <v/>
      </c>
      <c r="P256" s="4">
        <f>IF(ISBLANK(R256),"","&lt;br&gt;")</f>
        <v/>
      </c>
      <c r="Q256" s="42">
        <f>IF(ISBLANK(R256),"","&lt;b&gt;")</f>
        <v/>
      </c>
      <c r="R256" s="42" t="inlineStr">
        <is>
          <t>Div. of Medicaid</t>
        </is>
      </c>
      <c r="S256" s="42">
        <f>IF(ISBLANK(R256),"","&lt;/i&gt;")</f>
        <v/>
      </c>
      <c r="T256" s="42">
        <f>IF(ISBLANK(X256),"",IF(OR(AB256="PASSED",ISBLANK(N256)),"&lt;b&gt;","&lt;i&gt;"))</f>
        <v/>
      </c>
      <c r="U256" s="3">
        <f>IF(ISBLANK(V256),"","&lt;a href='")</f>
        <v/>
      </c>
      <c r="V256" s="13" t="inlineStr">
        <is>
          <t>https://legislature.idaho.gov/sessioninfo/rs/</t>
        </is>
      </c>
      <c r="W256" s="17">
        <f>IF(ISBLANK(V256),"","'&gt;")</f>
        <v/>
      </c>
      <c r="X256" s="12" t="inlineStr">
        <is>
          <t>Enhancement</t>
        </is>
      </c>
      <c r="Y256" s="17">
        <f>IF(ISBLANK(X256),"","&lt;/a&gt;")</f>
        <v/>
      </c>
      <c r="Z256" s="42">
        <f>IF(ISBLANK(X256),"",IF(OR(AB256="PASSED",ISBLANK(N256)),"&lt;/b&gt;","&lt;/i&gt;"))</f>
        <v/>
      </c>
      <c r="AA256" s="43">
        <f>IF(AB256="PASSED","&lt;b&gt;","")</f>
        <v/>
      </c>
      <c r="AB256" s="45" t="inlineStr">
        <is>
          <t>INTRODUCED</t>
        </is>
      </c>
      <c r="AC256" s="43">
        <f>IF(AB256="PASSED","&lt;/b&gt;","")</f>
        <v/>
      </c>
      <c r="AD256" s="43">
        <f>IF(ISBLANK(AE256),"","&lt;b&gt;")</f>
        <v/>
      </c>
      <c r="AE256" s="51" t="inlineStr">
        <is>
          <t>03/06</t>
        </is>
      </c>
      <c r="AF256" s="42">
        <f>IF(ISBLANK(AE256),"",": ")</f>
        <v/>
      </c>
      <c r="AG256" s="42" t="inlineStr">
        <is>
          <t>JFAC Budget Setting</t>
        </is>
      </c>
      <c r="AH256" s="42">
        <f>IF(ISBLANK(AE256),"","&lt;/b&gt;")</f>
        <v/>
      </c>
      <c r="AI256" s="42" t="inlineStr">
        <is>
          <t>01/22: JFAC Budget Hearing</t>
        </is>
      </c>
      <c r="AJ256" s="42">
        <f>IF(ISBLANK(AI256),"","&lt;br&gt;"&amp;AI256)</f>
        <v/>
      </c>
      <c r="AK256" s="42" t="n"/>
      <c r="AL256" s="42" t="n"/>
      <c r="AM256" s="42" t="n"/>
      <c r="AN256" s="42">
        <f>IF(ISBLANK(AM256),"","&lt;/i&gt;")</f>
        <v/>
      </c>
      <c r="AO256" s="35">
        <f>IF(ISBLANK(AQ256),"","&lt;/b&gt;&lt;br&gt;&lt;br&gt;")</f>
        <v/>
      </c>
      <c r="AP256" s="42">
        <f>IF(ISBLANK(AQ256),"","&lt;b&gt;")</f>
        <v/>
      </c>
      <c r="AQ256" s="42" t="n"/>
      <c r="AR256" s="4" t="n"/>
      <c r="AS256" s="4">
        <f>IF(ISBLANK(AR256),""," %")</f>
        <v/>
      </c>
      <c r="AT256" s="4">
        <f t="array" ref="AT256">_xlfn.IFS(NOT(ISBLANK(AU256))," (pgs. ",NOT(ISBLANK(AS256))," (pg. ", ISBLANK(AS256), "")</f>
        <v/>
      </c>
      <c r="AU256" s="42" t="n"/>
      <c r="AV256" s="4">
        <f>IF(ISBLANK(AW256),"",", ")</f>
        <v/>
      </c>
      <c r="AW256" s="42" t="n"/>
      <c r="AX256" s="4">
        <f>IF(ISBLANK(AY256),"",",&lt;br&gt;")</f>
        <v/>
      </c>
      <c r="AY256" s="42" t="n"/>
      <c r="AZ256" s="49">
        <f>IF(ISBLANK(AU256),"",")&lt;/b&gt;")</f>
        <v/>
      </c>
      <c r="BA256" s="4">
        <f>IF(ISBLANK(BC256),"","&lt;br&gt;")</f>
        <v/>
      </c>
      <c r="BB256" s="42">
        <f t="array" ref="BB256">IF(ISBLANK(BC256),"",_xlfn.LET(
_xlpm.words,_xlfn.TEXTSPLIT(TRIM(BC256),"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56" s="50" t="n"/>
    </row>
    <row r="257">
      <c r="A257" s="20">
        <f>_xlfn.TEXTJOIN("", TRUE, F257:H257)</f>
        <v/>
      </c>
      <c r="B257" s="21">
        <f>_xlfn.TEXTJOIN("", TRUE, I257:S257)</f>
        <v/>
      </c>
      <c r="C257" s="21">
        <f>IF(ISBLANK(X257),"", _xlfn.TEXTJOIN("",TRUE,T257:Z257))</f>
        <v/>
      </c>
      <c r="D257" s="21">
        <f>IF(ISBLANK(AB257), "", _xlfn.TEXTJOIN("", TRUE, AA257:AC257))</f>
        <v/>
      </c>
      <c r="E257" s="22">
        <f>IF(AU257="NA", _xlfn.TEXTJOIN("", TRUE, AD257:AH257), _xlfn.TEXTJOIN("", TRUE, AD257:AJ257))</f>
        <v/>
      </c>
      <c r="F257" s="42">
        <f>IF(LEFT(G257,4)="FY26","&lt;b&gt;","&lt;i&gt;")</f>
        <v/>
      </c>
      <c r="G257" s="42" t="inlineStr">
        <is>
          <t>FY27 Enhancement</t>
        </is>
      </c>
      <c r="H257" s="42">
        <f>IF(LEFT(G257,4)="FY26","&lt;/b&gt;","&lt;/i&gt;")</f>
        <v/>
      </c>
      <c r="I257" s="43" t="inlineStr">
        <is>
          <t>&lt;i&gt;</t>
        </is>
      </c>
      <c r="J257" s="44" t="inlineStr">
        <is>
          <t>Public Safety</t>
        </is>
      </c>
      <c r="K257" s="44" t="inlineStr">
        <is>
          <t>&lt;/i&gt;</t>
        </is>
      </c>
      <c r="L257" s="4">
        <f>IF(ISBLANK(N257),"","&lt;br&gt;")</f>
        <v/>
      </c>
      <c r="M257" s="42">
        <f>IF(ISBLANK(R257),"&lt;b&gt;","&lt;i&gt;")</f>
        <v/>
      </c>
      <c r="N257" s="42" t="inlineStr">
        <is>
          <t>Dept. of Juvenile Corrections</t>
        </is>
      </c>
      <c r="O257" s="42">
        <f>IF(ISBLANK(R257),"&lt;/b&gt;","&lt;/i&gt;")</f>
        <v/>
      </c>
      <c r="P257" s="4">
        <f>IF(ISBLANK(R257),"","&lt;br&gt;")</f>
        <v/>
      </c>
      <c r="Q257" s="42">
        <f>IF(ISBLANK(R257),"","&lt;b&gt;")</f>
        <v/>
      </c>
      <c r="R257" s="42" t="n"/>
      <c r="S257" s="42">
        <f>IF(ISBLANK(R257),"","&lt;/i&gt;")</f>
        <v/>
      </c>
      <c r="T257" s="42">
        <f>IF(ISBLANK(X257),"",IF(OR(AB257="PASSED",ISBLANK(N257)),"&lt;b&gt;","&lt;i&gt;"))</f>
        <v/>
      </c>
      <c r="U257" s="3">
        <f>IF(ISBLANK(V257),"","&lt;a href='")</f>
        <v/>
      </c>
      <c r="V257" s="13" t="inlineStr">
        <is>
          <t>https://legislature.idaho.gov/sessioninfo/rs/</t>
        </is>
      </c>
      <c r="W257" s="17">
        <f>IF(ISBLANK(V257),"","'&gt;")</f>
        <v/>
      </c>
      <c r="X257" s="12" t="inlineStr">
        <is>
          <t>Enhancement</t>
        </is>
      </c>
      <c r="Y257" s="17">
        <f>IF(ISBLANK(X257),"","&lt;/a&gt;")</f>
        <v/>
      </c>
      <c r="Z257" s="42">
        <f>IF(ISBLANK(X257),"",IF(OR(AB257="PASSED",ISBLANK(N257)),"&lt;/b&gt;","&lt;/i&gt;"))</f>
        <v/>
      </c>
      <c r="AA257" s="43">
        <f>IF(AB257="PASSED","&lt;b&gt;","")</f>
        <v/>
      </c>
      <c r="AB257" s="45" t="inlineStr">
        <is>
          <t>INTRODUCED</t>
        </is>
      </c>
      <c r="AC257" s="43">
        <f>IF(AB257="PASSED","&lt;/b&gt;","")</f>
        <v/>
      </c>
      <c r="AD257" s="43">
        <f>IF(ISBLANK(AE257),"","&lt;b&gt;")</f>
        <v/>
      </c>
      <c r="AE257" s="51" t="inlineStr">
        <is>
          <t>03/06</t>
        </is>
      </c>
      <c r="AF257" s="42">
        <f>IF(ISBLANK(AE257),"",": ")</f>
        <v/>
      </c>
      <c r="AG257" s="42" t="inlineStr">
        <is>
          <t>JFAC Budget Setting</t>
        </is>
      </c>
      <c r="AH257" s="42">
        <f>IF(ISBLANK(AE257),"","&lt;/b&gt;")</f>
        <v/>
      </c>
      <c r="AI257" s="42" t="inlineStr">
        <is>
          <t>02/11: JFAC Budget Hearing</t>
        </is>
      </c>
      <c r="AJ257" s="42">
        <f>IF(ISBLANK(AI257),"","&lt;br&gt;"&amp;AI257)</f>
        <v/>
      </c>
      <c r="AK257" s="42" t="n"/>
      <c r="AL257" s="42" t="n"/>
      <c r="AM257" s="42" t="n"/>
      <c r="AN257" s="42">
        <f>IF(ISBLANK(AM257),"","&lt;/i&gt;")</f>
        <v/>
      </c>
      <c r="AO257" s="35">
        <f>IF(ISBLANK(AQ257),"","&lt;/b&gt;&lt;br&gt;&lt;br&gt;")</f>
        <v/>
      </c>
      <c r="AP257" s="42">
        <f>IF(ISBLANK(AQ257),"","&lt;b&gt;")</f>
        <v/>
      </c>
      <c r="AQ257" s="42" t="n"/>
      <c r="AR257" s="4" t="n"/>
      <c r="AS257" s="4">
        <f>IF(ISBLANK(AR257),""," %")</f>
        <v/>
      </c>
      <c r="AT257" s="4">
        <f t="array" ref="AT257">_xlfn.IFS(NOT(ISBLANK(AU257))," (pgs. ",NOT(ISBLANK(AS257))," (pg. ", ISBLANK(AS257), "")</f>
        <v/>
      </c>
      <c r="AU257" s="42" t="n"/>
      <c r="AV257" s="4">
        <f>IF(ISBLANK(AW257),"",", ")</f>
        <v/>
      </c>
      <c r="AW257" s="42" t="n"/>
      <c r="AX257" s="4">
        <f>IF(ISBLANK(AY257),"",",&lt;br&gt;")</f>
        <v/>
      </c>
      <c r="AY257" s="42" t="n"/>
      <c r="AZ257" s="49">
        <f>IF(ISBLANK(AU257),"",")&lt;/b&gt;")</f>
        <v/>
      </c>
      <c r="BA257" s="4">
        <f>IF(ISBLANK(BC257),"","&lt;br&gt;")</f>
        <v/>
      </c>
      <c r="BB257" s="42">
        <f t="array" ref="BB257">IF(ISBLANK(BC257),"",_xlfn.LET(
_xlpm.words,_xlfn.TEXTSPLIT(TRIM(BC257),"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57" s="50" t="n"/>
    </row>
    <row r="258">
      <c r="A258" s="20">
        <f>_xlfn.TEXTJOIN("", TRUE, F258:H258)</f>
        <v/>
      </c>
      <c r="B258" s="21">
        <f>_xlfn.TEXTJOIN("", TRUE, I258:S258)</f>
        <v/>
      </c>
      <c r="C258" s="21">
        <f>IF(ISBLANK(X258),"", _xlfn.TEXTJOIN("",TRUE,T258:Z258))</f>
        <v/>
      </c>
      <c r="D258" s="21">
        <f>IF(ISBLANK(AB258), "", _xlfn.TEXTJOIN("", TRUE, AA258:AC258))</f>
        <v/>
      </c>
      <c r="E258" s="22">
        <f>IF(AU258="NA", _xlfn.TEXTJOIN("", TRUE, AD258:AH258), _xlfn.TEXTJOIN("", TRUE, AD258:AJ258))</f>
        <v/>
      </c>
      <c r="F258" s="42">
        <f>IF(LEFT(G258,4)="FY26","&lt;b&gt;","&lt;i&gt;")</f>
        <v/>
      </c>
      <c r="G258" s="42" t="inlineStr">
        <is>
          <t>FY27 Enhancement</t>
        </is>
      </c>
      <c r="H258" s="42">
        <f>IF(LEFT(G258,4)="FY26","&lt;/b&gt;","&lt;/i&gt;")</f>
        <v/>
      </c>
      <c r="I258" s="43" t="inlineStr">
        <is>
          <t>&lt;i&gt;</t>
        </is>
      </c>
      <c r="J258" s="44" t="inlineStr">
        <is>
          <t>Public Safety</t>
        </is>
      </c>
      <c r="K258" s="44" t="inlineStr">
        <is>
          <t>&lt;/i&gt;</t>
        </is>
      </c>
      <c r="L258" s="4">
        <f>IF(ISBLANK(N258),"","&lt;br&gt;")</f>
        <v/>
      </c>
      <c r="M258" s="42">
        <f>IF(ISBLANK(R258),"&lt;b&gt;","&lt;i&gt;")</f>
        <v/>
      </c>
      <c r="N258" s="42" t="inlineStr">
        <is>
          <t>Idaho State Police</t>
        </is>
      </c>
      <c r="O258" s="42">
        <f>IF(ISBLANK(R258),"&lt;/b&gt;","&lt;/i&gt;")</f>
        <v/>
      </c>
      <c r="P258" s="4">
        <f>IF(ISBLANK(R258),"","&lt;br&gt;")</f>
        <v/>
      </c>
      <c r="Q258" s="42">
        <f>IF(ISBLANK(R258),"","&lt;b&gt;")</f>
        <v/>
      </c>
      <c r="R258" s="42" t="n"/>
      <c r="S258" s="42">
        <f>IF(ISBLANK(R258),"","&lt;/i&gt;")</f>
        <v/>
      </c>
      <c r="T258" s="42">
        <f>IF(ISBLANK(X258),"",IF(OR(AB258="PASSED",ISBLANK(N258)),"&lt;b&gt;","&lt;i&gt;"))</f>
        <v/>
      </c>
      <c r="U258" s="3">
        <f>IF(ISBLANK(V258),"","&lt;a href='")</f>
        <v/>
      </c>
      <c r="V258" s="13" t="inlineStr">
        <is>
          <t>https://legislature.idaho.gov/sessioninfo/rs/</t>
        </is>
      </c>
      <c r="W258" s="17">
        <f>IF(ISBLANK(V258),"","'&gt;")</f>
        <v/>
      </c>
      <c r="X258" s="12" t="inlineStr">
        <is>
          <t>Enhancement</t>
        </is>
      </c>
      <c r="Y258" s="17">
        <f>IF(ISBLANK(X258),"","&lt;/a&gt;")</f>
        <v/>
      </c>
      <c r="Z258" s="42">
        <f>IF(ISBLANK(X258),"",IF(OR(AB258="PASSED",ISBLANK(N258)),"&lt;/b&gt;","&lt;/i&gt;"))</f>
        <v/>
      </c>
      <c r="AA258" s="43">
        <f>IF(AB258="PASSED","&lt;b&gt;","")</f>
        <v/>
      </c>
      <c r="AB258" s="45" t="inlineStr">
        <is>
          <t>INTRODUCED</t>
        </is>
      </c>
      <c r="AC258" s="43">
        <f>IF(AB258="PASSED","&lt;/b&gt;","")</f>
        <v/>
      </c>
      <c r="AD258" s="43">
        <f>IF(ISBLANK(AE258),"","&lt;b&gt;")</f>
        <v/>
      </c>
      <c r="AE258" s="51" t="inlineStr">
        <is>
          <t>03/06</t>
        </is>
      </c>
      <c r="AF258" s="42">
        <f>IF(ISBLANK(AE258),"",": ")</f>
        <v/>
      </c>
      <c r="AG258" s="42" t="inlineStr">
        <is>
          <t>JFAC Budget Setting</t>
        </is>
      </c>
      <c r="AH258" s="42">
        <f>IF(ISBLANK(AE258),"","&lt;/b&gt;")</f>
        <v/>
      </c>
      <c r="AI258" s="42" t="inlineStr">
        <is>
          <t>02/04: JFAC Budget Hearing</t>
        </is>
      </c>
      <c r="AJ258" s="42">
        <f>IF(ISBLANK(AI258),"","&lt;br&gt;"&amp;AI258)</f>
        <v/>
      </c>
      <c r="AK258" s="42" t="n"/>
      <c r="AL258" s="42" t="n"/>
      <c r="AM258" s="42" t="n"/>
      <c r="AN258" s="42">
        <f>IF(ISBLANK(AM258),"","&lt;/i&gt;")</f>
        <v/>
      </c>
      <c r="AO258" s="35">
        <f>IF(ISBLANK(AQ258),"","&lt;/b&gt;&lt;br&gt;&lt;br&gt;")</f>
        <v/>
      </c>
      <c r="AP258" s="42">
        <f>IF(ISBLANK(AQ258),"","&lt;b&gt;")</f>
        <v/>
      </c>
      <c r="AQ258" s="42" t="n"/>
      <c r="AR258" s="4" t="n"/>
      <c r="AS258" s="4">
        <f>IF(ISBLANK(AR258),""," %")</f>
        <v/>
      </c>
      <c r="AT258" s="4">
        <f t="array" ref="AT258">_xlfn.IFS(NOT(ISBLANK(AU258))," (pgs. ",NOT(ISBLANK(AS258))," (pg. ", ISBLANK(AS258), "")</f>
        <v/>
      </c>
      <c r="AU258" s="42" t="n"/>
      <c r="AV258" s="4">
        <f>IF(ISBLANK(AW258),"",", ")</f>
        <v/>
      </c>
      <c r="AW258" s="42" t="n"/>
      <c r="AX258" s="4">
        <f>IF(ISBLANK(AY258),"",",&lt;br&gt;")</f>
        <v/>
      </c>
      <c r="AY258" s="42" t="n"/>
      <c r="AZ258" s="49">
        <f>IF(ISBLANK(AU258),"",")&lt;/b&gt;")</f>
        <v/>
      </c>
      <c r="BA258" s="4">
        <f>IF(ISBLANK(BC258),"","&lt;br&gt;")</f>
        <v/>
      </c>
      <c r="BB258" s="42">
        <f t="array" ref="BB258">IF(ISBLANK(BC258),"",_xlfn.LET(
_xlpm.words,_xlfn.TEXTSPLIT(TRIM(BC258),"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58" s="50" t="n"/>
    </row>
    <row r="259">
      <c r="A259" s="20">
        <f>_xlfn.TEXTJOIN("", TRUE, F259:H259)</f>
        <v/>
      </c>
      <c r="B259" s="21">
        <f>_xlfn.TEXTJOIN("", TRUE, I259:S259)</f>
        <v/>
      </c>
      <c r="C259" s="21">
        <f>IF(ISBLANK(X259),"", _xlfn.TEXTJOIN("",TRUE,T259:Z259))</f>
        <v/>
      </c>
      <c r="D259" s="21">
        <f>IF(ISBLANK(AB259), "", _xlfn.TEXTJOIN("", TRUE, AA259:AC259))</f>
        <v/>
      </c>
      <c r="E259" s="22">
        <f>IF(AU259="NA", _xlfn.TEXTJOIN("", TRUE, AD259:AH259), _xlfn.TEXTJOIN("", TRUE, AD259:AJ259))</f>
        <v/>
      </c>
      <c r="F259" s="42">
        <f>IF(LEFT(G259,4)="FY26","&lt;b&gt;","&lt;i&gt;")</f>
        <v/>
      </c>
      <c r="G259" s="42" t="inlineStr">
        <is>
          <t>FY27 Enhancement</t>
        </is>
      </c>
      <c r="H259" s="42">
        <f>IF(LEFT(G259,4)="FY26","&lt;/b&gt;","&lt;/i&gt;")</f>
        <v/>
      </c>
      <c r="I259" s="43" t="inlineStr">
        <is>
          <t>&lt;i&gt;</t>
        </is>
      </c>
      <c r="J259" s="44" t="inlineStr">
        <is>
          <t>Public Safety</t>
        </is>
      </c>
      <c r="K259" s="44" t="inlineStr">
        <is>
          <t>&lt;/i&gt;</t>
        </is>
      </c>
      <c r="L259" s="4">
        <f>IF(ISBLANK(N259),"","&lt;br&gt;")</f>
        <v/>
      </c>
      <c r="M259" s="42">
        <f>IF(ISBLANK(R259),"&lt;b&gt;","&lt;i&gt;")</f>
        <v/>
      </c>
      <c r="N259" s="42" t="inlineStr">
        <is>
          <t>Idaho State Police</t>
        </is>
      </c>
      <c r="O259" s="42">
        <f>IF(ISBLANK(R259),"&lt;/b&gt;","&lt;/i&gt;")</f>
        <v/>
      </c>
      <c r="P259" s="4">
        <f>IF(ISBLANK(R259),"","&lt;br&gt;")</f>
        <v/>
      </c>
      <c r="Q259" s="42">
        <f>IF(ISBLANK(R259),"","&lt;b&gt;")</f>
        <v/>
      </c>
      <c r="R259" s="42" t="inlineStr">
        <is>
          <t>Brand Inspection</t>
        </is>
      </c>
      <c r="S259" s="42">
        <f>IF(ISBLANK(R259),"","&lt;/i&gt;")</f>
        <v/>
      </c>
      <c r="T259" s="42">
        <f>IF(ISBLANK(X259),"",IF(OR(AB259="PASSED",ISBLANK(N259)),"&lt;b&gt;","&lt;i&gt;"))</f>
        <v/>
      </c>
      <c r="U259" s="3">
        <f>IF(ISBLANK(V259),"","&lt;a href='")</f>
        <v/>
      </c>
      <c r="V259" s="13" t="inlineStr">
        <is>
          <t>https://legislature.idaho.gov/sessioninfo/rs/</t>
        </is>
      </c>
      <c r="W259" s="17">
        <f>IF(ISBLANK(V259),"","'&gt;")</f>
        <v/>
      </c>
      <c r="X259" s="12" t="inlineStr">
        <is>
          <t>Enhancement</t>
        </is>
      </c>
      <c r="Y259" s="17">
        <f>IF(ISBLANK(X259),"","&lt;/a&gt;")</f>
        <v/>
      </c>
      <c r="Z259" s="42">
        <f>IF(ISBLANK(X259),"",IF(OR(AB259="PASSED",ISBLANK(N259)),"&lt;/b&gt;","&lt;/i&gt;"))</f>
        <v/>
      </c>
      <c r="AA259" s="43">
        <f>IF(AB259="PASSED","&lt;b&gt;","")</f>
        <v/>
      </c>
      <c r="AB259" s="45" t="inlineStr">
        <is>
          <t>INTRODUCED</t>
        </is>
      </c>
      <c r="AC259" s="43">
        <f>IF(AB259="PASSED","&lt;/b&gt;","")</f>
        <v/>
      </c>
      <c r="AD259" s="43">
        <f>IF(ISBLANK(AE259),"","&lt;b&gt;")</f>
        <v/>
      </c>
      <c r="AE259" s="51" t="inlineStr">
        <is>
          <t>03/06</t>
        </is>
      </c>
      <c r="AF259" s="42">
        <f>IF(ISBLANK(AE259),"",": ")</f>
        <v/>
      </c>
      <c r="AG259" s="42" t="inlineStr">
        <is>
          <t>JFAC Budget Setting</t>
        </is>
      </c>
      <c r="AH259" s="42">
        <f>IF(ISBLANK(AE259),"","&lt;/b&gt;")</f>
        <v/>
      </c>
      <c r="AI259" s="42" t="inlineStr">
        <is>
          <t>02/04: JFAC Budget Hearing</t>
        </is>
      </c>
      <c r="AJ259" s="42">
        <f>IF(ISBLANK(AI259),"","&lt;br&gt;"&amp;AI259)</f>
        <v/>
      </c>
      <c r="AK259" s="42" t="n"/>
      <c r="AL259" s="42" t="n"/>
      <c r="AM259" s="42" t="n"/>
      <c r="AN259" s="42">
        <f>IF(ISBLANK(AM259),"","&lt;/i&gt;")</f>
        <v/>
      </c>
      <c r="AO259" s="35">
        <f>IF(ISBLANK(AQ259),"","&lt;/b&gt;&lt;br&gt;&lt;br&gt;")</f>
        <v/>
      </c>
      <c r="AP259" s="42">
        <f>IF(ISBLANK(AQ259),"","&lt;b&gt;")</f>
        <v/>
      </c>
      <c r="AQ259" s="42" t="n"/>
      <c r="AR259" s="4" t="n"/>
      <c r="AS259" s="4">
        <f>IF(ISBLANK(AR259),""," %")</f>
        <v/>
      </c>
      <c r="AT259" s="4">
        <f t="array" ref="AT259">_xlfn.IFS(NOT(ISBLANK(AU259))," (pgs. ",NOT(ISBLANK(AS259))," (pg. ", ISBLANK(AS259), "")</f>
        <v/>
      </c>
      <c r="AU259" s="42" t="n"/>
      <c r="AV259" s="4">
        <f>IF(ISBLANK(AW259),"",", ")</f>
        <v/>
      </c>
      <c r="AW259" s="42" t="n"/>
      <c r="AX259" s="4">
        <f>IF(ISBLANK(AY259),"",",&lt;br&gt;")</f>
        <v/>
      </c>
      <c r="AY259" s="42" t="n"/>
      <c r="AZ259" s="49">
        <f>IF(ISBLANK(AU259),"",")&lt;/b&gt;")</f>
        <v/>
      </c>
      <c r="BA259" s="4">
        <f>IF(ISBLANK(BC259),"","&lt;br&gt;")</f>
        <v/>
      </c>
      <c r="BB259" s="42">
        <f t="array" ref="BB259">IF(ISBLANK(BC259),"",_xlfn.LET(
_xlpm.words,_xlfn.TEXTSPLIT(TRIM(BC259),"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59" s="50" t="n"/>
    </row>
    <row r="260">
      <c r="A260" s="20">
        <f>_xlfn.TEXTJOIN("", TRUE, F260:H260)</f>
        <v/>
      </c>
      <c r="B260" s="21">
        <f>_xlfn.TEXTJOIN("", TRUE, I260:S260)</f>
        <v/>
      </c>
      <c r="C260" s="21">
        <f>IF(ISBLANK(X260),"", _xlfn.TEXTJOIN("",TRUE,T260:Z260))</f>
        <v/>
      </c>
      <c r="D260" s="21">
        <f>IF(ISBLANK(AB260), "", _xlfn.TEXTJOIN("", TRUE, AA260:AC260))</f>
        <v/>
      </c>
      <c r="E260" s="22">
        <f>IF(AU260="NA", _xlfn.TEXTJOIN("", TRUE, AD260:AH260), _xlfn.TEXTJOIN("", TRUE, AD260:AJ260))</f>
        <v/>
      </c>
      <c r="F260" s="42">
        <f>IF(LEFT(G260,4)="FY26","&lt;b&gt;","&lt;i&gt;")</f>
        <v/>
      </c>
      <c r="G260" s="42" t="inlineStr">
        <is>
          <t>FY27 Enhancement</t>
        </is>
      </c>
      <c r="H260" s="42">
        <f>IF(LEFT(G260,4)="FY26","&lt;/b&gt;","&lt;/i&gt;")</f>
        <v/>
      </c>
      <c r="I260" s="43" t="inlineStr">
        <is>
          <t>&lt;i&gt;</t>
        </is>
      </c>
      <c r="J260" s="44" t="inlineStr">
        <is>
          <t>Public Safety</t>
        </is>
      </c>
      <c r="K260" s="44" t="inlineStr">
        <is>
          <t>&lt;/i&gt;</t>
        </is>
      </c>
      <c r="L260" s="4">
        <f>IF(ISBLANK(N260),"","&lt;br&gt;")</f>
        <v/>
      </c>
      <c r="M260" s="42">
        <f>IF(ISBLANK(R260),"&lt;b&gt;","&lt;i&gt;")</f>
        <v/>
      </c>
      <c r="N260" s="42" t="inlineStr">
        <is>
          <t>Idaho State Police</t>
        </is>
      </c>
      <c r="O260" s="42">
        <f>IF(ISBLANK(R260),"&lt;/b&gt;","&lt;/i&gt;")</f>
        <v/>
      </c>
      <c r="P260" s="4">
        <f>IF(ISBLANK(R260),"","&lt;br&gt;")</f>
        <v/>
      </c>
      <c r="Q260" s="42">
        <f>IF(ISBLANK(R260),"","&lt;b&gt;")</f>
        <v/>
      </c>
      <c r="R260" s="42" t="inlineStr">
        <is>
          <t>POST Academy</t>
        </is>
      </c>
      <c r="S260" s="42">
        <f>IF(ISBLANK(R260),"","&lt;/i&gt;")</f>
        <v/>
      </c>
      <c r="T260" s="42">
        <f>IF(ISBLANK(X260),"",IF(OR(AB260="PASSED",ISBLANK(N260)),"&lt;b&gt;","&lt;i&gt;"))</f>
        <v/>
      </c>
      <c r="U260" s="3">
        <f>IF(ISBLANK(V260),"","&lt;a href='")</f>
        <v/>
      </c>
      <c r="V260" s="13" t="inlineStr">
        <is>
          <t>https://legislature.idaho.gov/sessioninfo/rs/</t>
        </is>
      </c>
      <c r="W260" s="17">
        <f>IF(ISBLANK(V260),"","'&gt;")</f>
        <v/>
      </c>
      <c r="X260" s="12" t="inlineStr">
        <is>
          <t>Enhancement</t>
        </is>
      </c>
      <c r="Y260" s="17">
        <f>IF(ISBLANK(X260),"","&lt;/a&gt;")</f>
        <v/>
      </c>
      <c r="Z260" s="42">
        <f>IF(ISBLANK(X260),"",IF(OR(AB260="PASSED",ISBLANK(N260)),"&lt;/b&gt;","&lt;/i&gt;"))</f>
        <v/>
      </c>
      <c r="AA260" s="43">
        <f>IF(AB260="PASSED","&lt;b&gt;","")</f>
        <v/>
      </c>
      <c r="AB260" s="45" t="inlineStr">
        <is>
          <t>INTRODUCED</t>
        </is>
      </c>
      <c r="AC260" s="43">
        <f>IF(AB260="PASSED","&lt;/b&gt;","")</f>
        <v/>
      </c>
      <c r="AD260" s="43">
        <f>IF(ISBLANK(AE260),"","&lt;b&gt;")</f>
        <v/>
      </c>
      <c r="AE260" s="51" t="inlineStr">
        <is>
          <t>03/06</t>
        </is>
      </c>
      <c r="AF260" s="42">
        <f>IF(ISBLANK(AE260),"",": ")</f>
        <v/>
      </c>
      <c r="AG260" s="42" t="inlineStr">
        <is>
          <t>JFAC Budget Setting</t>
        </is>
      </c>
      <c r="AH260" s="42">
        <f>IF(ISBLANK(AE260),"","&lt;/b&gt;")</f>
        <v/>
      </c>
      <c r="AI260" s="42" t="inlineStr">
        <is>
          <t>02/04: JFAC Budget Hearing</t>
        </is>
      </c>
      <c r="AJ260" s="42">
        <f>IF(ISBLANK(AI260),"","&lt;br&gt;"&amp;AI260)</f>
        <v/>
      </c>
      <c r="AK260" s="42" t="n"/>
      <c r="AL260" s="42" t="n"/>
      <c r="AM260" s="42" t="n"/>
      <c r="AN260" s="42">
        <f>IF(ISBLANK(AM260),"","&lt;/i&gt;")</f>
        <v/>
      </c>
      <c r="AO260" s="35">
        <f>IF(ISBLANK(AQ260),"","&lt;/b&gt;&lt;br&gt;&lt;br&gt;")</f>
        <v/>
      </c>
      <c r="AP260" s="42">
        <f>IF(ISBLANK(AQ260),"","&lt;b&gt;")</f>
        <v/>
      </c>
      <c r="AQ260" s="42" t="n"/>
      <c r="AR260" s="4" t="n"/>
      <c r="AS260" s="4">
        <f>IF(ISBLANK(AR260),""," %")</f>
        <v/>
      </c>
      <c r="AT260" s="4">
        <f t="array" ref="AT260">_xlfn.IFS(NOT(ISBLANK(AU260))," (pgs. ",NOT(ISBLANK(AS260))," (pg. ", ISBLANK(AS260), "")</f>
        <v/>
      </c>
      <c r="AU260" s="42" t="n"/>
      <c r="AV260" s="4">
        <f>IF(ISBLANK(AW260),"",", ")</f>
        <v/>
      </c>
      <c r="AW260" s="42" t="n"/>
      <c r="AX260" s="4">
        <f>IF(ISBLANK(AY260),"",",&lt;br&gt;")</f>
        <v/>
      </c>
      <c r="AY260" s="42" t="n"/>
      <c r="AZ260" s="49">
        <f>IF(ISBLANK(AU260),"",")&lt;/b&gt;")</f>
        <v/>
      </c>
      <c r="BA260" s="4">
        <f>IF(ISBLANK(BC260),"","&lt;br&gt;")</f>
        <v/>
      </c>
      <c r="BB260" s="42">
        <f t="array" ref="BB260">IF(ISBLANK(BC260),"",_xlfn.LET(
_xlpm.words,_xlfn.TEXTSPLIT(TRIM(BC260),"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60" s="50" t="n"/>
    </row>
    <row r="261">
      <c r="A261" s="20">
        <f>_xlfn.TEXTJOIN("", TRUE, F261:H261)</f>
        <v/>
      </c>
      <c r="B261" s="21">
        <f>_xlfn.TEXTJOIN("", TRUE, I261:S261)</f>
        <v/>
      </c>
      <c r="C261" s="21">
        <f>IF(ISBLANK(X261),"", _xlfn.TEXTJOIN("",TRUE,T261:Z261))</f>
        <v/>
      </c>
      <c r="D261" s="21">
        <f>IF(ISBLANK(AB261), "", _xlfn.TEXTJOIN("", TRUE, AA261:AC261))</f>
        <v/>
      </c>
      <c r="E261" s="22">
        <f>IF(AU261="NA", _xlfn.TEXTJOIN("", TRUE, AD261:AH261), _xlfn.TEXTJOIN("", TRUE, AD261:AJ261))</f>
        <v/>
      </c>
      <c r="F261" s="42">
        <f>IF(LEFT(G261,4)="FY26","&lt;b&gt;","&lt;i&gt;")</f>
        <v/>
      </c>
      <c r="G261" s="42" t="inlineStr">
        <is>
          <t>FY27 Enhancement</t>
        </is>
      </c>
      <c r="H261" s="42">
        <f>IF(LEFT(G261,4)="FY26","&lt;/b&gt;","&lt;/i&gt;")</f>
        <v/>
      </c>
      <c r="I261" s="43" t="inlineStr">
        <is>
          <t>&lt;i&gt;</t>
        </is>
      </c>
      <c r="J261" s="44" t="inlineStr">
        <is>
          <t>Constitutional Officers</t>
        </is>
      </c>
      <c r="K261" s="44" t="inlineStr">
        <is>
          <t>&lt;/i&gt;</t>
        </is>
      </c>
      <c r="L261" s="4">
        <f>IF(ISBLANK(N261),"","&lt;br&gt;")</f>
        <v/>
      </c>
      <c r="M261" s="42">
        <f>IF(ISBLANK(R261),"&lt;b&gt;","&lt;i&gt;")</f>
        <v/>
      </c>
      <c r="N261" s="42" t="inlineStr">
        <is>
          <t>State Treasurer</t>
        </is>
      </c>
      <c r="O261" s="42">
        <f>IF(ISBLANK(R261),"&lt;/b&gt;","&lt;/i&gt;")</f>
        <v/>
      </c>
      <c r="P261" s="4">
        <f>IF(ISBLANK(R261),"","&lt;br&gt;")</f>
        <v/>
      </c>
      <c r="Q261" s="42">
        <f>IF(ISBLANK(R261),"","&lt;b&gt;")</f>
        <v/>
      </c>
      <c r="R261" s="42" t="inlineStr">
        <is>
          <t>Millennium Fund</t>
        </is>
      </c>
      <c r="S261" s="42">
        <f>IF(ISBLANK(R261),"","&lt;/i&gt;")</f>
        <v/>
      </c>
      <c r="T261" s="42">
        <f>IF(ISBLANK(X261),"",IF(OR(AB261="PASSED",ISBLANK(N261)),"&lt;b&gt;","&lt;i&gt;"))</f>
        <v/>
      </c>
      <c r="U261" s="3">
        <f>IF(ISBLANK(V261),"","&lt;a href='")</f>
        <v/>
      </c>
      <c r="V261" s="13" t="inlineStr">
        <is>
          <t>https://legislature.idaho.gov/sessioninfo/rs/</t>
        </is>
      </c>
      <c r="W261" s="17">
        <f>IF(ISBLANK(V261),"","'&gt;")</f>
        <v/>
      </c>
      <c r="X261" s="12" t="inlineStr">
        <is>
          <t>Enhancement</t>
        </is>
      </c>
      <c r="Y261" s="17">
        <f>IF(ISBLANK(X261),"","&lt;/a&gt;")</f>
        <v/>
      </c>
      <c r="Z261" s="42">
        <f>IF(ISBLANK(X261),"",IF(OR(AB261="PASSED",ISBLANK(N261)),"&lt;/b&gt;","&lt;/i&gt;"))</f>
        <v/>
      </c>
      <c r="AA261" s="43">
        <f>IF(AB261="PASSED","&lt;b&gt;","")</f>
        <v/>
      </c>
      <c r="AB261" s="45" t="inlineStr">
        <is>
          <t>INTRODUCED</t>
        </is>
      </c>
      <c r="AC261" s="43">
        <f>IF(AB261="PASSED","&lt;/b&gt;","")</f>
        <v/>
      </c>
      <c r="AD261" s="43">
        <f>IF(ISBLANK(AE261),"","&lt;b&gt;")</f>
        <v/>
      </c>
      <c r="AE261" s="51" t="inlineStr">
        <is>
          <t>03/05</t>
        </is>
      </c>
      <c r="AF261" s="42">
        <f>IF(ISBLANK(AE261),"",": ")</f>
        <v/>
      </c>
      <c r="AG261" s="42" t="inlineStr">
        <is>
          <t>JFAC Budget Setting</t>
        </is>
      </c>
      <c r="AH261" s="42">
        <f>IF(ISBLANK(AE261),"","&lt;/b&gt;")</f>
        <v/>
      </c>
      <c r="AI261" s="42" t="inlineStr">
        <is>
          <t>02/24: JFAC Budget Hearing</t>
        </is>
      </c>
      <c r="AJ261" s="42">
        <f>IF(ISBLANK(AI261),"","&lt;br&gt;"&amp;AI261)</f>
        <v/>
      </c>
      <c r="AK261" s="42" t="n"/>
      <c r="AL261" s="42" t="n"/>
      <c r="AM261" s="42" t="n"/>
      <c r="AN261" s="42">
        <f>IF(ISBLANK(AM261),"","&lt;/i&gt;")</f>
        <v/>
      </c>
      <c r="AO261" s="35">
        <f>IF(ISBLANK(AQ261),"","&lt;/b&gt;&lt;br&gt;&lt;br&gt;")</f>
        <v/>
      </c>
      <c r="AP261" s="42">
        <f>IF(ISBLANK(AQ261),"","&lt;b&gt;")</f>
        <v/>
      </c>
      <c r="AQ261" s="42" t="n"/>
      <c r="AR261" s="4" t="n"/>
      <c r="AS261" s="4">
        <f>IF(ISBLANK(AR261),""," %")</f>
        <v/>
      </c>
      <c r="AT261" s="4">
        <f t="array" ref="AT261">_xlfn.IFS(NOT(ISBLANK(AU261))," (pgs. ",NOT(ISBLANK(AS261))," (pg. ", ISBLANK(AS261), "")</f>
        <v/>
      </c>
      <c r="AU261" s="42" t="n"/>
      <c r="AV261" s="4">
        <f>IF(ISBLANK(AW261),"",", ")</f>
        <v/>
      </c>
      <c r="AW261" s="42" t="n"/>
      <c r="AX261" s="4">
        <f>IF(ISBLANK(AY261),"",",&lt;br&gt;")</f>
        <v/>
      </c>
      <c r="AY261" s="42" t="n"/>
      <c r="AZ261" s="49">
        <f>IF(ISBLANK(AU261),"",")&lt;/b&gt;")</f>
        <v/>
      </c>
      <c r="BA261" s="4">
        <f>IF(ISBLANK(BC261),"","&lt;br&gt;")</f>
        <v/>
      </c>
      <c r="BB261" s="42">
        <f t="array" ref="BB261">IF(ISBLANK(BC261),"",_xlfn.LET(
_xlpm.words,_xlfn.TEXTSPLIT(TRIM(BC261),"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61" s="50" t="n"/>
    </row>
    <row r="262">
      <c r="A262" s="20">
        <f>_xlfn.TEXTJOIN("", TRUE, F262:H262)</f>
        <v/>
      </c>
      <c r="B262" s="21">
        <f>_xlfn.TEXTJOIN("", TRUE, I262:S262)</f>
        <v/>
      </c>
      <c r="C262" s="21">
        <f>IF(ISBLANK(X262),"", _xlfn.TEXTJOIN("",TRUE,T262:Z262))</f>
        <v/>
      </c>
      <c r="D262" s="21">
        <f>IF(ISBLANK(AB262), "", _xlfn.TEXTJOIN("", TRUE, AA262:AC262))</f>
        <v/>
      </c>
      <c r="E262" s="22">
        <f>IF(AU262="NA", _xlfn.TEXTJOIN("", TRUE, AD262:AH262), _xlfn.TEXTJOIN("", TRUE, AD262:AJ262))</f>
        <v/>
      </c>
      <c r="F262" s="42">
        <f>IF(LEFT(G262,4)="FY26","&lt;b&gt;","&lt;i&gt;")</f>
        <v/>
      </c>
      <c r="G262" s="42" t="inlineStr">
        <is>
          <t>FY27 Enhancement</t>
        </is>
      </c>
      <c r="H262" s="42">
        <f>IF(LEFT(G262,4)="FY26","&lt;/b&gt;","&lt;/i&gt;")</f>
        <v/>
      </c>
      <c r="I262" s="43" t="inlineStr">
        <is>
          <t>&lt;i&gt;</t>
        </is>
      </c>
      <c r="J262" s="44" t="inlineStr">
        <is>
          <t>Economic Development</t>
        </is>
      </c>
      <c r="K262" s="44" t="inlineStr">
        <is>
          <t>&lt;/i&gt;</t>
        </is>
      </c>
      <c r="L262" s="4">
        <f>IF(ISBLANK(N262),"","&lt;br&gt;")</f>
        <v/>
      </c>
      <c r="M262" s="42">
        <f>IF(ISBLANK(R262),"&lt;b&gt;","&lt;i&gt;")</f>
        <v/>
      </c>
      <c r="N262" s="42" t="inlineStr">
        <is>
          <t>Dept. of Self-Governing Agencies</t>
        </is>
      </c>
      <c r="O262" s="42">
        <f>IF(ISBLANK(R262),"&lt;/b&gt;","&lt;/i&gt;")</f>
        <v/>
      </c>
      <c r="P262" s="4">
        <f>IF(ISBLANK(R262),"","&lt;br&gt;")</f>
        <v/>
      </c>
      <c r="Q262" s="42">
        <f>IF(ISBLANK(R262),"","&lt;b&gt;")</f>
        <v/>
      </c>
      <c r="R262" s="42" t="inlineStr">
        <is>
          <t>State Historical Society</t>
        </is>
      </c>
      <c r="S262" s="42">
        <f>IF(ISBLANK(R262),"","&lt;/i&gt;")</f>
        <v/>
      </c>
      <c r="T262" s="42">
        <f>IF(ISBLANK(X262),"",IF(OR(AB262="PASSED",ISBLANK(N262)),"&lt;b&gt;","&lt;i&gt;"))</f>
        <v/>
      </c>
      <c r="U262" s="3">
        <f>IF(ISBLANK(V262),"","&lt;a href='")</f>
        <v/>
      </c>
      <c r="V262" s="13" t="inlineStr">
        <is>
          <t>https://legislature.idaho.gov/sessioninfo/rs/</t>
        </is>
      </c>
      <c r="W262" s="17">
        <f>IF(ISBLANK(V262),"","'&gt;")</f>
        <v/>
      </c>
      <c r="X262" s="12" t="inlineStr">
        <is>
          <t>Enhancement</t>
        </is>
      </c>
      <c r="Y262" s="17">
        <f>IF(ISBLANK(X262),"","&lt;/a&gt;")</f>
        <v/>
      </c>
      <c r="Z262" s="42">
        <f>IF(ISBLANK(X262),"",IF(OR(AB262="PASSED",ISBLANK(N262)),"&lt;/b&gt;","&lt;/i&gt;"))</f>
        <v/>
      </c>
      <c r="AA262" s="43">
        <f>IF(AB262="PASSED","&lt;b&gt;","")</f>
        <v/>
      </c>
      <c r="AB262" s="45" t="inlineStr">
        <is>
          <t>INTRODUCED</t>
        </is>
      </c>
      <c r="AC262" s="43">
        <f>IF(AB262="PASSED","&lt;/b&gt;","")</f>
        <v/>
      </c>
      <c r="AD262" s="43">
        <f>IF(ISBLANK(AE262),"","&lt;b&gt;")</f>
        <v/>
      </c>
      <c r="AE262" s="46" t="inlineStr">
        <is>
          <t>03/05</t>
        </is>
      </c>
      <c r="AF262" s="42">
        <f>IF(ISBLANK(AE262),"",": ")</f>
        <v/>
      </c>
      <c r="AG262" s="42" t="inlineStr">
        <is>
          <t>JFAC Budget Setting</t>
        </is>
      </c>
      <c r="AH262" s="42">
        <f>IF(ISBLANK(AE262),"","&lt;/b&gt;")</f>
        <v/>
      </c>
      <c r="AI262" s="42" t="inlineStr">
        <is>
          <t>02/10: JFAC Budget Hearing</t>
        </is>
      </c>
      <c r="AJ262" s="42">
        <f>IF(ISBLANK(AI262),"","&lt;br&gt;"&amp;AI262)</f>
        <v/>
      </c>
      <c r="AK262" s="42" t="n"/>
      <c r="AL262" s="42" t="n"/>
      <c r="AM262" s="42" t="n"/>
      <c r="AN262" s="42">
        <f>IF(ISBLANK(AM262),"","&lt;/i&gt;")</f>
        <v/>
      </c>
      <c r="AO262" s="35">
        <f>IF(ISBLANK(AQ262),"","&lt;/b&gt;&lt;br&gt;&lt;br&gt;")</f>
        <v/>
      </c>
      <c r="AP262" s="42">
        <f>IF(ISBLANK(AQ262),"","&lt;b&gt;")</f>
        <v/>
      </c>
      <c r="AQ262" s="42" t="n"/>
      <c r="AR262" s="4" t="n"/>
      <c r="AS262" s="4">
        <f>IF(ISBLANK(AR262),""," %")</f>
        <v/>
      </c>
      <c r="AT262" s="4">
        <f t="array" ref="AT262">_xlfn.IFS(NOT(ISBLANK(AU262))," (pgs. ",NOT(ISBLANK(AS262))," (pg. ", ISBLANK(AS262), "")</f>
        <v/>
      </c>
      <c r="AU262" s="42" t="n"/>
      <c r="AV262" s="4">
        <f>IF(ISBLANK(AW262),"",", ")</f>
        <v/>
      </c>
      <c r="AW262" s="42" t="n"/>
      <c r="AX262" s="4">
        <f>IF(ISBLANK(AY262),"",",&lt;br&gt;")</f>
        <v/>
      </c>
      <c r="AY262" s="42" t="n"/>
      <c r="AZ262" s="49">
        <f>IF(ISBLANK(AU262),"",")&lt;/b&gt;")</f>
        <v/>
      </c>
      <c r="BA262" s="4">
        <f>IF(ISBLANK(BC262),"","&lt;br&gt;")</f>
        <v/>
      </c>
      <c r="BB262" s="42">
        <f t="array" ref="BB262">IF(ISBLANK(BC262),"",_xlfn.LET(
_xlpm.words,_xlfn.TEXTSPLIT(TRIM(BC262),"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62" s="50" t="n"/>
    </row>
    <row r="263">
      <c r="A263" s="20">
        <f>_xlfn.TEXTJOIN("", TRUE, F263:H263)</f>
        <v/>
      </c>
      <c r="B263" s="21">
        <f>_xlfn.TEXTJOIN("", TRUE, I263:S263)</f>
        <v/>
      </c>
      <c r="C263" s="21">
        <f>IF(ISBLANK(X263),"", _xlfn.TEXTJOIN("",TRUE,T263:Z263))</f>
        <v/>
      </c>
      <c r="D263" s="21">
        <f>IF(ISBLANK(AB263), "", _xlfn.TEXTJOIN("", TRUE, AA263:AC263))</f>
        <v/>
      </c>
      <c r="E263" s="22">
        <f>IF(AU263="NA", _xlfn.TEXTJOIN("", TRUE, AD263:AH263), _xlfn.TEXTJOIN("", TRUE, AD263:AJ263))</f>
        <v/>
      </c>
      <c r="F263" s="42">
        <f>IF(LEFT(G263,4)="FY26","&lt;b&gt;","&lt;i&gt;")</f>
        <v/>
      </c>
      <c r="G263" s="42" t="inlineStr">
        <is>
          <t>FY27 Enhancement</t>
        </is>
      </c>
      <c r="H263" s="42">
        <f>IF(LEFT(G263,4)="FY26","&lt;/b&gt;","&lt;/i&gt;")</f>
        <v/>
      </c>
      <c r="I263" s="43" t="inlineStr">
        <is>
          <t>&lt;i&gt;</t>
        </is>
      </c>
      <c r="J263" s="44" t="inlineStr">
        <is>
          <t>Judicial Branch</t>
        </is>
      </c>
      <c r="K263" s="44" t="inlineStr">
        <is>
          <t>&lt;/i&gt;</t>
        </is>
      </c>
      <c r="L263" s="4">
        <f>IF(ISBLANK(N263),"","&lt;br&gt;")</f>
        <v/>
      </c>
      <c r="M263" s="42">
        <f>IF(ISBLANK(R263),"&lt;b&gt;","&lt;i&gt;")</f>
        <v/>
      </c>
      <c r="N263" s="42" t="inlineStr">
        <is>
          <t>Court Operations</t>
        </is>
      </c>
      <c r="O263" s="42">
        <f>IF(ISBLANK(R263),"&lt;/b&gt;","&lt;/i&gt;")</f>
        <v/>
      </c>
      <c r="P263" s="4">
        <f>IF(ISBLANK(R263),"","&lt;br&gt;")</f>
        <v/>
      </c>
      <c r="Q263" s="42">
        <f>IF(ISBLANK(R263),"","&lt;b&gt;")</f>
        <v/>
      </c>
      <c r="R263" s="42" t="n"/>
      <c r="S263" s="42">
        <f>IF(ISBLANK(R263),"","&lt;/i&gt;")</f>
        <v/>
      </c>
      <c r="T263" s="42">
        <f>IF(ISBLANK(X263),"",IF(OR(AB263="PASSED",ISBLANK(N263)),"&lt;b&gt;","&lt;i&gt;"))</f>
        <v/>
      </c>
      <c r="U263" s="3">
        <f>IF(ISBLANK(V263),"","&lt;a href='")</f>
        <v/>
      </c>
      <c r="V263" s="13" t="inlineStr">
        <is>
          <t>https://legislature.idaho.gov/sessioninfo/rs/</t>
        </is>
      </c>
      <c r="W263" s="17">
        <f>IF(ISBLANK(V263),"","'&gt;")</f>
        <v/>
      </c>
      <c r="X263" s="12" t="inlineStr">
        <is>
          <t>Enhancement</t>
        </is>
      </c>
      <c r="Y263" s="17">
        <f>IF(ISBLANK(X263),"","&lt;/a&gt;")</f>
        <v/>
      </c>
      <c r="Z263" s="42">
        <f>IF(ISBLANK(X263),"",IF(OR(AB263="PASSED",ISBLANK(N263)),"&lt;/b&gt;","&lt;/i&gt;"))</f>
        <v/>
      </c>
      <c r="AA263" s="43">
        <f>IF(AB263="PASSED","&lt;b&gt;","")</f>
        <v/>
      </c>
      <c r="AB263" s="45" t="inlineStr">
        <is>
          <t>INTRODUCED</t>
        </is>
      </c>
      <c r="AC263" s="43">
        <f>IF(AB263="PASSED","&lt;/b&gt;","")</f>
        <v/>
      </c>
      <c r="AD263" s="43">
        <f>IF(ISBLANK(AE263),"","&lt;b&gt;")</f>
        <v/>
      </c>
      <c r="AE263" s="51" t="inlineStr">
        <is>
          <t>03/05</t>
        </is>
      </c>
      <c r="AF263" s="42">
        <f>IF(ISBLANK(AE263),"",": ")</f>
        <v/>
      </c>
      <c r="AG263" s="42" t="inlineStr">
        <is>
          <t>JFAC Budget Setting</t>
        </is>
      </c>
      <c r="AH263" s="42">
        <f>IF(ISBLANK(AE263),"","&lt;/b&gt;")</f>
        <v/>
      </c>
      <c r="AI263" s="42" t="inlineStr">
        <is>
          <t>01/28: JFAC Budget Hearing</t>
        </is>
      </c>
      <c r="AJ263" s="42">
        <f>IF(ISBLANK(AI263),"","&lt;br&gt;"&amp;AI263)</f>
        <v/>
      </c>
      <c r="AK263" s="42" t="n"/>
      <c r="AL263" s="42" t="n"/>
      <c r="AM263" s="42" t="n"/>
      <c r="AN263" s="42">
        <f>IF(ISBLANK(AM263),"","&lt;/i&gt;")</f>
        <v/>
      </c>
      <c r="AO263" s="35">
        <f>IF(ISBLANK(AQ263),"","&lt;/b&gt;&lt;br&gt;&lt;br&gt;")</f>
        <v/>
      </c>
      <c r="AP263" s="42">
        <f>IF(ISBLANK(AQ263),"","&lt;b&gt;")</f>
        <v/>
      </c>
      <c r="AQ263" s="42" t="n"/>
      <c r="AR263" s="4" t="n"/>
      <c r="AS263" s="4">
        <f>IF(ISBLANK(AR263),""," %")</f>
        <v/>
      </c>
      <c r="AT263" s="4">
        <f t="array" ref="AT263">_xlfn.IFS(NOT(ISBLANK(AU263))," (pgs. ",NOT(ISBLANK(AS263))," (pg. ", ISBLANK(AS263), "")</f>
        <v/>
      </c>
      <c r="AU263" s="42" t="n"/>
      <c r="AV263" s="4">
        <f>IF(ISBLANK(AW263),"",", ")</f>
        <v/>
      </c>
      <c r="AW263" s="42" t="n"/>
      <c r="AX263" s="4">
        <f>IF(ISBLANK(AY263),"",",&lt;br&gt;")</f>
        <v/>
      </c>
      <c r="AY263" s="42" t="n"/>
      <c r="AZ263" s="49">
        <f>IF(ISBLANK(AU263),"",")&lt;/b&gt;")</f>
        <v/>
      </c>
      <c r="BA263" s="4">
        <f>IF(ISBLANK(BC263),"","&lt;br&gt;")</f>
        <v/>
      </c>
      <c r="BB263" s="42">
        <f t="array" ref="BB263">IF(ISBLANK(BC263),"",_xlfn.LET(
_xlpm.words,_xlfn.TEXTSPLIT(TRIM(BC263),"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63" s="50" t="n"/>
    </row>
    <row r="264">
      <c r="A264" s="20">
        <f>_xlfn.TEXTJOIN("", TRUE, F264:H264)</f>
        <v/>
      </c>
      <c r="B264" s="21">
        <f>_xlfn.TEXTJOIN("", TRUE, I264:S264)</f>
        <v/>
      </c>
      <c r="C264" s="21">
        <f>IF(ISBLANK(X264),"", _xlfn.TEXTJOIN("",TRUE,T264:Z264))</f>
        <v/>
      </c>
      <c r="D264" s="21">
        <f>IF(ISBLANK(AB264), "", _xlfn.TEXTJOIN("", TRUE, AA264:AC264))</f>
        <v/>
      </c>
      <c r="E264" s="22">
        <f>IF(AU264="NA", _xlfn.TEXTJOIN("", TRUE, AD264:AH264), _xlfn.TEXTJOIN("", TRUE, AD264:AJ264))</f>
        <v/>
      </c>
      <c r="F264" s="42">
        <f>IF(LEFT(G264,4)="FY26","&lt;b&gt;","&lt;i&gt;")</f>
        <v/>
      </c>
      <c r="G264" s="42" t="inlineStr">
        <is>
          <t>FY27 Enhancement</t>
        </is>
      </c>
      <c r="H264" s="42">
        <f>IF(LEFT(G264,4)="FY26","&lt;/b&gt;","&lt;/i&gt;")</f>
        <v/>
      </c>
      <c r="I264" s="43" t="inlineStr">
        <is>
          <t>&lt;i&gt;</t>
        </is>
      </c>
      <c r="J264" s="44" t="inlineStr">
        <is>
          <t>Judicial Branch</t>
        </is>
      </c>
      <c r="K264" s="44" t="inlineStr">
        <is>
          <t>&lt;/i&gt;</t>
        </is>
      </c>
      <c r="L264" s="4">
        <f>IF(ISBLANK(N264),"","&lt;br&gt;")</f>
        <v/>
      </c>
      <c r="M264" s="42">
        <f>IF(ISBLANK(R264),"&lt;b&gt;","&lt;i&gt;")</f>
        <v/>
      </c>
      <c r="N264" s="42" t="inlineStr">
        <is>
          <t>Guardian Ad Litem Program</t>
        </is>
      </c>
      <c r="O264" s="42">
        <f>IF(ISBLANK(R264),"&lt;/b&gt;","&lt;/i&gt;")</f>
        <v/>
      </c>
      <c r="P264" s="4">
        <f>IF(ISBLANK(R264),"","&lt;br&gt;")</f>
        <v/>
      </c>
      <c r="Q264" s="42">
        <f>IF(ISBLANK(R264),"","&lt;b&gt;")</f>
        <v/>
      </c>
      <c r="R264" s="42" t="n"/>
      <c r="S264" s="42">
        <f>IF(ISBLANK(R264),"","&lt;/i&gt;")</f>
        <v/>
      </c>
      <c r="T264" s="42">
        <f>IF(ISBLANK(X264),"",IF(OR(AB264="PASSED",ISBLANK(N264)),"&lt;b&gt;","&lt;i&gt;"))</f>
        <v/>
      </c>
      <c r="U264" s="3">
        <f>IF(ISBLANK(V264),"","&lt;a href='")</f>
        <v/>
      </c>
      <c r="V264" s="13" t="inlineStr">
        <is>
          <t>https://legislature.idaho.gov/sessioninfo/rs/</t>
        </is>
      </c>
      <c r="W264" s="17">
        <f>IF(ISBLANK(V264),"","'&gt;")</f>
        <v/>
      </c>
      <c r="X264" s="12" t="inlineStr">
        <is>
          <t>Enhancement</t>
        </is>
      </c>
      <c r="Y264" s="17">
        <f>IF(ISBLANK(X264),"","&lt;/a&gt;")</f>
        <v/>
      </c>
      <c r="Z264" s="42">
        <f>IF(ISBLANK(X264),"",IF(OR(AB264="PASSED",ISBLANK(N264)),"&lt;/b&gt;","&lt;/i&gt;"))</f>
        <v/>
      </c>
      <c r="AA264" s="43">
        <f>IF(AB264="PASSED","&lt;b&gt;","")</f>
        <v/>
      </c>
      <c r="AB264" s="45" t="inlineStr">
        <is>
          <t>INTRODUCED</t>
        </is>
      </c>
      <c r="AC264" s="43">
        <f>IF(AB264="PASSED","&lt;/b&gt;","")</f>
        <v/>
      </c>
      <c r="AD264" s="43">
        <f>IF(ISBLANK(AE264),"","&lt;b&gt;")</f>
        <v/>
      </c>
      <c r="AE264" s="51" t="inlineStr">
        <is>
          <t>03/05</t>
        </is>
      </c>
      <c r="AF264" s="42">
        <f>IF(ISBLANK(AE264),"",": ")</f>
        <v/>
      </c>
      <c r="AG264" s="42" t="inlineStr">
        <is>
          <t>JFAC Budget Setting</t>
        </is>
      </c>
      <c r="AH264" s="42">
        <f>IF(ISBLANK(AE264),"","&lt;/b&gt;")</f>
        <v/>
      </c>
      <c r="AI264" s="42" t="inlineStr">
        <is>
          <t>01/28: JFAC Budget Hearing</t>
        </is>
      </c>
      <c r="AJ264" s="42">
        <f>IF(ISBLANK(AI264),"","&lt;br&gt;"&amp;AI264)</f>
        <v/>
      </c>
      <c r="AK264" s="42" t="n"/>
      <c r="AL264" s="42" t="n"/>
      <c r="AM264" s="42" t="n"/>
      <c r="AN264" s="42">
        <f>IF(ISBLANK(AM264),"","&lt;/i&gt;")</f>
        <v/>
      </c>
      <c r="AO264" s="35">
        <f>IF(ISBLANK(AQ264),"","&lt;/b&gt;&lt;br&gt;&lt;br&gt;")</f>
        <v/>
      </c>
      <c r="AP264" s="42">
        <f>IF(ISBLANK(AQ264),"","&lt;b&gt;")</f>
        <v/>
      </c>
      <c r="AQ264" s="42" t="n"/>
      <c r="AR264" s="4" t="n"/>
      <c r="AS264" s="4">
        <f>IF(ISBLANK(AR264),""," %")</f>
        <v/>
      </c>
      <c r="AT264" s="4">
        <f t="array" ref="AT264">_xlfn.IFS(NOT(ISBLANK(AU264))," (pgs. ",NOT(ISBLANK(AS264))," (pg. ", ISBLANK(AS264), "")</f>
        <v/>
      </c>
      <c r="AU264" s="42" t="n"/>
      <c r="AV264" s="4">
        <f>IF(ISBLANK(AW264),"",", ")</f>
        <v/>
      </c>
      <c r="AW264" s="42" t="n"/>
      <c r="AX264" s="4">
        <f>IF(ISBLANK(AY264),"",",&lt;br&gt;")</f>
        <v/>
      </c>
      <c r="AY264" s="42" t="n"/>
      <c r="AZ264" s="49">
        <f>IF(ISBLANK(AU264),"",")&lt;/b&gt;")</f>
        <v/>
      </c>
      <c r="BA264" s="4">
        <f>IF(ISBLANK(BC264),"","&lt;br&gt;")</f>
        <v/>
      </c>
      <c r="BB264" s="42">
        <f t="array" ref="BB264">IF(ISBLANK(BC264),"",_xlfn.LET(
_xlpm.words,_xlfn.TEXTSPLIT(TRIM(BC264),"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64" s="50" t="n"/>
    </row>
    <row r="265">
      <c r="A265" s="20">
        <f>_xlfn.TEXTJOIN("", TRUE, F265:H265)</f>
        <v/>
      </c>
      <c r="B265" s="21">
        <f>_xlfn.TEXTJOIN("", TRUE, I265:S265)</f>
        <v/>
      </c>
      <c r="C265" s="21">
        <f>IF(ISBLANK(X265),"", _xlfn.TEXTJOIN("",TRUE,T265:Z265))</f>
        <v/>
      </c>
      <c r="D265" s="21">
        <f>IF(ISBLANK(AB265), "", _xlfn.TEXTJOIN("", TRUE, AA265:AC265))</f>
        <v/>
      </c>
      <c r="E265" s="22">
        <f>IF(AU265="NA", _xlfn.TEXTJOIN("", TRUE, AD265:AH265), _xlfn.TEXTJOIN("", TRUE, AD265:AJ265))</f>
        <v/>
      </c>
      <c r="F265" s="42">
        <f>IF(LEFT(G265,4)="FY26","&lt;b&gt;","&lt;i&gt;")</f>
        <v/>
      </c>
      <c r="G265" s="42" t="inlineStr">
        <is>
          <t>FY27 Enhancement</t>
        </is>
      </c>
      <c r="H265" s="42">
        <f>IF(LEFT(G265,4)="FY26","&lt;/b&gt;","&lt;/i&gt;")</f>
        <v/>
      </c>
      <c r="I265" s="43" t="inlineStr">
        <is>
          <t>&lt;i&gt;</t>
        </is>
      </c>
      <c r="J265" s="44" t="inlineStr">
        <is>
          <t>Health &amp; Human Services</t>
        </is>
      </c>
      <c r="K265" s="44" t="inlineStr">
        <is>
          <t>&lt;/i&gt;</t>
        </is>
      </c>
      <c r="L265" s="4">
        <f>IF(ISBLANK(N265),"","&lt;br&gt;")</f>
        <v/>
      </c>
      <c r="M265" s="42">
        <f>IF(ISBLANK(R265),"&lt;b&gt;","&lt;i&gt;")</f>
        <v/>
      </c>
      <c r="N265" s="42" t="inlineStr">
        <is>
          <t>Dept. of Health &amp; Welfare</t>
        </is>
      </c>
      <c r="O265" s="42">
        <f>IF(ISBLANK(R265),"&lt;/b&gt;","&lt;/i&gt;")</f>
        <v/>
      </c>
      <c r="P265" s="4">
        <f>IF(ISBLANK(R265),"","&lt;br&gt;")</f>
        <v/>
      </c>
      <c r="Q265" s="42">
        <f>IF(ISBLANK(R265),"","&lt;b&gt;")</f>
        <v/>
      </c>
      <c r="R265" s="42" t="inlineStr">
        <is>
          <t>Child Welfare</t>
        </is>
      </c>
      <c r="S265" s="42">
        <f>IF(ISBLANK(R265),"","&lt;/i&gt;")</f>
        <v/>
      </c>
      <c r="T265" s="42">
        <f>IF(ISBLANK(X265),"",IF(OR(AB265="PASSED",ISBLANK(N265)),"&lt;b&gt;","&lt;i&gt;"))</f>
        <v/>
      </c>
      <c r="U265" s="3">
        <f>IF(ISBLANK(V265),"","&lt;a href='")</f>
        <v/>
      </c>
      <c r="V265" s="13" t="inlineStr">
        <is>
          <t>https://legislature.idaho.gov/sessioninfo/rs/</t>
        </is>
      </c>
      <c r="W265" s="17">
        <f>IF(ISBLANK(V265),"","'&gt;")</f>
        <v/>
      </c>
      <c r="X265" s="12" t="inlineStr">
        <is>
          <t>Enhancement</t>
        </is>
      </c>
      <c r="Y265" s="17">
        <f>IF(ISBLANK(X265),"","&lt;/a&gt;")</f>
        <v/>
      </c>
      <c r="Z265" s="42">
        <f>IF(ISBLANK(X265),"",IF(OR(AB265="PASSED",ISBLANK(N265)),"&lt;/b&gt;","&lt;/i&gt;"))</f>
        <v/>
      </c>
      <c r="AA265" s="43">
        <f>IF(AB265="PASSED","&lt;b&gt;","")</f>
        <v/>
      </c>
      <c r="AB265" s="45" t="inlineStr">
        <is>
          <t>INTRODUCED</t>
        </is>
      </c>
      <c r="AC265" s="43">
        <f>IF(AB265="PASSED","&lt;/b&gt;","")</f>
        <v/>
      </c>
      <c r="AD265" s="43">
        <f>IF(ISBLANK(AE265),"","&lt;b&gt;")</f>
        <v/>
      </c>
      <c r="AE265" s="51" t="inlineStr">
        <is>
          <t>03/04</t>
        </is>
      </c>
      <c r="AF265" s="42">
        <f>IF(ISBLANK(AE265),"",": ")</f>
        <v/>
      </c>
      <c r="AG265" s="42" t="inlineStr">
        <is>
          <t>JFAC Budget Setting</t>
        </is>
      </c>
      <c r="AH265" s="42">
        <f>IF(ISBLANK(AE265),"","&lt;/b&gt;")</f>
        <v/>
      </c>
      <c r="AI265" s="42" t="n"/>
      <c r="AJ265" s="42">
        <f>IF(ISBLANK(AI265),"","&lt;br&gt;"&amp;AI265)</f>
        <v/>
      </c>
      <c r="AK265" s="42" t="n"/>
      <c r="AL265" s="42" t="n"/>
      <c r="AM265" s="42" t="n"/>
      <c r="AN265" s="42">
        <f>IF(ISBLANK(AM265),"","&lt;/i&gt;")</f>
        <v/>
      </c>
      <c r="AO265" s="35">
        <f>IF(ISBLANK(AQ265),"","&lt;/b&gt;&lt;br&gt;&lt;br&gt;")</f>
        <v/>
      </c>
      <c r="AP265" s="42">
        <f>IF(ISBLANK(AQ265),"","&lt;b&gt;")</f>
        <v/>
      </c>
      <c r="AQ265" s="42" t="n"/>
      <c r="AR265" s="4" t="n"/>
      <c r="AS265" s="4">
        <f>IF(ISBLANK(AR265),""," %")</f>
        <v/>
      </c>
      <c r="AT265" s="4">
        <f t="array" ref="AT265">_xlfn.IFS(NOT(ISBLANK(AU265))," (pgs. ",NOT(ISBLANK(AS265))," (pg. ", ISBLANK(AS265), "")</f>
        <v/>
      </c>
      <c r="AU265" s="42" t="n"/>
      <c r="AV265" s="4">
        <f>IF(ISBLANK(AW265),"",", ")</f>
        <v/>
      </c>
      <c r="AW265" s="42" t="n"/>
      <c r="AX265" s="4">
        <f>IF(ISBLANK(AY265),"",",&lt;br&gt;")</f>
        <v/>
      </c>
      <c r="AY265" s="42" t="n"/>
      <c r="AZ265" s="49">
        <f>IF(ISBLANK(AU265),"",")&lt;/b&gt;")</f>
        <v/>
      </c>
      <c r="BA265" s="4">
        <f>IF(ISBLANK(BC265),"","&lt;br&gt;")</f>
        <v/>
      </c>
      <c r="BB265" s="42">
        <f t="array" ref="BB265">IF(ISBLANK(BC265),"",_xlfn.LET(
_xlpm.words,_xlfn.TEXTSPLIT(TRIM(BC265),"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65" s="50" t="n"/>
    </row>
    <row r="266">
      <c r="A266" s="20">
        <f>_xlfn.TEXTJOIN("", TRUE, F266:H266)</f>
        <v/>
      </c>
      <c r="B266" s="21">
        <f>_xlfn.TEXTJOIN("", TRUE, I266:S266)</f>
        <v/>
      </c>
      <c r="C266" s="21">
        <f>IF(ISBLANK(X266),"", _xlfn.TEXTJOIN("",TRUE,T266:Z266))</f>
        <v/>
      </c>
      <c r="D266" s="21">
        <f>IF(ISBLANK(AB266), "", _xlfn.TEXTJOIN("", TRUE, AA266:AC266))</f>
        <v/>
      </c>
      <c r="E266" s="22">
        <f>IF(AU266="NA", _xlfn.TEXTJOIN("", TRUE, AD266:AH266), _xlfn.TEXTJOIN("", TRUE, AD266:AJ266))</f>
        <v/>
      </c>
      <c r="F266" s="42">
        <f>IF(LEFT(G266,4)="FY26","&lt;b&gt;","&lt;i&gt;")</f>
        <v/>
      </c>
      <c r="G266" s="42" t="inlineStr">
        <is>
          <t>FY27 Enhancement</t>
        </is>
      </c>
      <c r="H266" s="42">
        <f>IF(LEFT(G266,4)="FY26","&lt;/b&gt;","&lt;/i&gt;")</f>
        <v/>
      </c>
      <c r="I266" s="43" t="inlineStr">
        <is>
          <t>&lt;i&gt;</t>
        </is>
      </c>
      <c r="J266" s="44" t="inlineStr">
        <is>
          <t>Health &amp; Human Services</t>
        </is>
      </c>
      <c r="K266" s="44" t="inlineStr">
        <is>
          <t>&lt;/i&gt;</t>
        </is>
      </c>
      <c r="L266" s="4">
        <f>IF(ISBLANK(N266),"","&lt;br&gt;")</f>
        <v/>
      </c>
      <c r="M266" s="42">
        <f>IF(ISBLANK(R266),"&lt;b&gt;","&lt;i&gt;")</f>
        <v/>
      </c>
      <c r="N266" s="42" t="inlineStr">
        <is>
          <t>Dept. of Health &amp; Welfare</t>
        </is>
      </c>
      <c r="O266" s="42">
        <f>IF(ISBLANK(R266),"&lt;/b&gt;","&lt;/i&gt;")</f>
        <v/>
      </c>
      <c r="P266" s="4">
        <f>IF(ISBLANK(R266),"","&lt;br&gt;")</f>
        <v/>
      </c>
      <c r="Q266" s="42">
        <f>IF(ISBLANK(R266),"","&lt;b&gt;")</f>
        <v/>
      </c>
      <c r="R266" s="42" t="inlineStr">
        <is>
          <t>Public Health Services</t>
        </is>
      </c>
      <c r="S266" s="42">
        <f>IF(ISBLANK(R266),"","&lt;/i&gt;")</f>
        <v/>
      </c>
      <c r="T266" s="42">
        <f>IF(ISBLANK(X266),"",IF(OR(AB266="PASSED",ISBLANK(N266)),"&lt;b&gt;","&lt;i&gt;"))</f>
        <v/>
      </c>
      <c r="U266" s="3">
        <f>IF(ISBLANK(V266),"","&lt;a href='")</f>
        <v/>
      </c>
      <c r="V266" s="13" t="inlineStr">
        <is>
          <t>https://legislature.idaho.gov/sessioninfo/rs/</t>
        </is>
      </c>
      <c r="W266" s="17">
        <f>IF(ISBLANK(V266),"","'&gt;")</f>
        <v/>
      </c>
      <c r="X266" s="12" t="inlineStr">
        <is>
          <t>Enhancement</t>
        </is>
      </c>
      <c r="Y266" s="17">
        <f>IF(ISBLANK(X266),"","&lt;/a&gt;")</f>
        <v/>
      </c>
      <c r="Z266" s="42">
        <f>IF(ISBLANK(X266),"",IF(OR(AB266="PASSED",ISBLANK(N266)),"&lt;/b&gt;","&lt;/i&gt;"))</f>
        <v/>
      </c>
      <c r="AA266" s="43">
        <f>IF(AB266="PASSED","&lt;b&gt;","")</f>
        <v/>
      </c>
      <c r="AB266" s="45" t="inlineStr">
        <is>
          <t>INTRODUCED</t>
        </is>
      </c>
      <c r="AC266" s="43">
        <f>IF(AB266="PASSED","&lt;/b&gt;","")</f>
        <v/>
      </c>
      <c r="AD266" s="43">
        <f>IF(ISBLANK(AE266),"","&lt;b&gt;")</f>
        <v/>
      </c>
      <c r="AE266" s="46" t="inlineStr">
        <is>
          <t>03/04</t>
        </is>
      </c>
      <c r="AF266" s="42">
        <f>IF(ISBLANK(AE266),"",": ")</f>
        <v/>
      </c>
      <c r="AG266" s="42" t="inlineStr">
        <is>
          <t>JFAC Budget Setting</t>
        </is>
      </c>
      <c r="AH266" s="42">
        <f>IF(ISBLANK(AE266),"","&lt;/b&gt;")</f>
        <v/>
      </c>
      <c r="AI266" s="42" t="inlineStr">
        <is>
          <t>02/27: JFAC Budget Setting&lt;br&gt;01/27: JFAC Budget Hearing</t>
        </is>
      </c>
      <c r="AJ266" s="42">
        <f>IF(ISBLANK(AI266),"","&lt;br&gt;"&amp;AI266)</f>
        <v/>
      </c>
      <c r="AK266" s="42" t="n"/>
      <c r="AL266" s="42" t="n"/>
      <c r="AM266" s="42" t="n"/>
      <c r="AN266" s="42">
        <f>IF(ISBLANK(AM266),"","&lt;/i&gt;")</f>
        <v/>
      </c>
      <c r="AO266" s="35">
        <f>IF(ISBLANK(AQ266),"","&lt;/b&gt;&lt;br&gt;&lt;br&gt;")</f>
        <v/>
      </c>
      <c r="AP266" s="42">
        <f>IF(ISBLANK(AQ266),"","&lt;b&gt;")</f>
        <v/>
      </c>
      <c r="AQ266" s="42" t="n"/>
      <c r="AR266" s="4" t="n"/>
      <c r="AS266" s="4">
        <f>IF(ISBLANK(AR266),""," %")</f>
        <v/>
      </c>
      <c r="AT266" s="4">
        <f t="array" ref="AT266">_xlfn.IFS(NOT(ISBLANK(AU266))," (pgs. ",NOT(ISBLANK(AS266))," (pg. ", ISBLANK(AS266), "")</f>
        <v/>
      </c>
      <c r="AU266" s="42" t="n"/>
      <c r="AV266" s="4">
        <f>IF(ISBLANK(AW266),"",", ")</f>
        <v/>
      </c>
      <c r="AW266" s="42" t="n"/>
      <c r="AX266" s="4">
        <f>IF(ISBLANK(AY266),"",",&lt;br&gt;")</f>
        <v/>
      </c>
      <c r="AY266" s="42" t="n"/>
      <c r="AZ266" s="49">
        <f>IF(ISBLANK(AU266),"",")&lt;/b&gt;")</f>
        <v/>
      </c>
      <c r="BA266" s="4">
        <f>IF(ISBLANK(BC266),"","&lt;br&gt;")</f>
        <v/>
      </c>
      <c r="BB266" s="42">
        <f t="array" ref="BB266">IF(ISBLANK(BC266),"",_xlfn.LET(
_xlpm.words,_xlfn.TEXTSPLIT(TRIM(BC266),"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66" s="50" t="n"/>
    </row>
    <row r="267">
      <c r="A267" s="20">
        <f>_xlfn.TEXTJOIN("", TRUE, F267:H267)</f>
        <v/>
      </c>
      <c r="B267" s="21">
        <f>_xlfn.TEXTJOIN("", TRUE, I267:S267)</f>
        <v/>
      </c>
      <c r="C267" s="21">
        <f>IF(ISBLANK(X267),"", _xlfn.TEXTJOIN("",TRUE,T267:Z267))</f>
        <v/>
      </c>
      <c r="D267" s="21">
        <f>IF(ISBLANK(AB267), "", _xlfn.TEXTJOIN("", TRUE, AA267:AC267))</f>
        <v/>
      </c>
      <c r="E267" s="22">
        <f>IF(AU267="NA", _xlfn.TEXTJOIN("", TRUE, AD267:AH267), _xlfn.TEXTJOIN("", TRUE, AD267:AJ267))</f>
        <v/>
      </c>
      <c r="F267" s="42">
        <f>IF(LEFT(G267,4)="FY26","&lt;b&gt;","&lt;i&gt;")</f>
        <v/>
      </c>
      <c r="G267" s="42" t="inlineStr">
        <is>
          <t>FY27 Enhancement</t>
        </is>
      </c>
      <c r="H267" s="42">
        <f>IF(LEFT(G267,4)="FY26","&lt;/b&gt;","&lt;/i&gt;")</f>
        <v/>
      </c>
      <c r="I267" s="43" t="inlineStr">
        <is>
          <t>&lt;i&gt;</t>
        </is>
      </c>
      <c r="J267" s="44" t="inlineStr">
        <is>
          <t>Natural Resources</t>
        </is>
      </c>
      <c r="K267" s="44" t="inlineStr">
        <is>
          <t>&lt;/i&gt;</t>
        </is>
      </c>
      <c r="L267" s="4">
        <f>IF(ISBLANK(N267),"","&lt;br&gt;")</f>
        <v/>
      </c>
      <c r="M267" s="42">
        <f>IF(ISBLANK(R267),"&lt;b&gt;","&lt;i&gt;")</f>
        <v/>
      </c>
      <c r="N267" s="42" t="inlineStr">
        <is>
          <t>Dept. of Parks &amp; Recreation</t>
        </is>
      </c>
      <c r="O267" s="42">
        <f>IF(ISBLANK(R267),"&lt;/b&gt;","&lt;/i&gt;")</f>
        <v/>
      </c>
      <c r="P267" s="4">
        <f>IF(ISBLANK(R267),"","&lt;br&gt;")</f>
        <v/>
      </c>
      <c r="Q267" s="42">
        <f>IF(ISBLANK(R267),"","&lt;b&gt;")</f>
        <v/>
      </c>
      <c r="R267" s="42" t="n"/>
      <c r="S267" s="42">
        <f>IF(ISBLANK(R267),"","&lt;/i&gt;")</f>
        <v/>
      </c>
      <c r="T267" s="42">
        <f>IF(ISBLANK(X267),"",IF(OR(AB267="PASSED",ISBLANK(N267)),"&lt;b&gt;","&lt;i&gt;"))</f>
        <v/>
      </c>
      <c r="U267" s="3">
        <f>IF(ISBLANK(V267),"","&lt;a href='")</f>
        <v/>
      </c>
      <c r="V267" s="13" t="inlineStr">
        <is>
          <t>https://legislature.idaho.gov/sessioninfo/rs/</t>
        </is>
      </c>
      <c r="W267" s="17">
        <f>IF(ISBLANK(V267),"","'&gt;")</f>
        <v/>
      </c>
      <c r="X267" s="12" t="inlineStr">
        <is>
          <t>Enhancement</t>
        </is>
      </c>
      <c r="Y267" s="17">
        <f>IF(ISBLANK(X267),"","&lt;/a&gt;")</f>
        <v/>
      </c>
      <c r="Z267" s="42">
        <f>IF(ISBLANK(X267),"",IF(OR(AB267="PASSED",ISBLANK(N267)),"&lt;/b&gt;","&lt;/i&gt;"))</f>
        <v/>
      </c>
      <c r="AA267" s="43">
        <f>IF(AB267="PASSED","&lt;b&gt;","")</f>
        <v/>
      </c>
      <c r="AB267" s="45" t="inlineStr">
        <is>
          <t>INTRODUCED</t>
        </is>
      </c>
      <c r="AC267" s="43">
        <f>IF(AB267="PASSED","&lt;/b&gt;","")</f>
        <v/>
      </c>
      <c r="AD267" s="43">
        <f>IF(ISBLANK(AE267),"","&lt;b&gt;")</f>
        <v/>
      </c>
      <c r="AE267" s="51" t="inlineStr">
        <is>
          <t>03/04</t>
        </is>
      </c>
      <c r="AF267" s="42">
        <f>IF(ISBLANK(AE267),"",": ")</f>
        <v/>
      </c>
      <c r="AG267" s="42" t="inlineStr">
        <is>
          <t>JFAC Budget Setting</t>
        </is>
      </c>
      <c r="AH267" s="42">
        <f>IF(ISBLANK(AE267),"","&lt;/b&gt;")</f>
        <v/>
      </c>
      <c r="AI267" s="42" t="inlineStr">
        <is>
          <t>02/18: JFAC Budget Hearing</t>
        </is>
      </c>
      <c r="AJ267" s="42">
        <f>IF(ISBLANK(AI267),"","&lt;br&gt;"&amp;AI267)</f>
        <v/>
      </c>
      <c r="AK267" s="42" t="n"/>
      <c r="AL267" s="42" t="n"/>
      <c r="AM267" s="42" t="n"/>
      <c r="AN267" s="42">
        <f>IF(ISBLANK(AM267),"","&lt;/i&gt;")</f>
        <v/>
      </c>
      <c r="AO267" s="35">
        <f>IF(ISBLANK(AQ267),"","&lt;/b&gt;&lt;br&gt;&lt;br&gt;")</f>
        <v/>
      </c>
      <c r="AP267" s="42">
        <f>IF(ISBLANK(AQ267),"","&lt;b&gt;")</f>
        <v/>
      </c>
      <c r="AQ267" s="42" t="n"/>
      <c r="AR267" s="4" t="n"/>
      <c r="AS267" s="4">
        <f>IF(ISBLANK(AR267),""," %")</f>
        <v/>
      </c>
      <c r="AT267" s="4">
        <f t="array" ref="AT267">_xlfn.IFS(NOT(ISBLANK(AU267))," (pgs. ",NOT(ISBLANK(AS267))," (pg. ", ISBLANK(AS267), "")</f>
        <v/>
      </c>
      <c r="AU267" s="42" t="n"/>
      <c r="AV267" s="4">
        <f>IF(ISBLANK(AW267),"",", ")</f>
        <v/>
      </c>
      <c r="AW267" s="42" t="n"/>
      <c r="AX267" s="4">
        <f>IF(ISBLANK(AY267),"",",&lt;br&gt;")</f>
        <v/>
      </c>
      <c r="AY267" s="42" t="n"/>
      <c r="AZ267" s="49">
        <f>IF(ISBLANK(AU267),"",")&lt;/b&gt;")</f>
        <v/>
      </c>
      <c r="BA267" s="4">
        <f>IF(ISBLANK(BC267),"","&lt;br&gt;")</f>
        <v/>
      </c>
      <c r="BB267" s="42">
        <f t="array" ref="BB267">IF(ISBLANK(BC267),"",_xlfn.LET(
_xlpm.words,_xlfn.TEXTSPLIT(TRIM(BC267),"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67" s="50" t="n"/>
    </row>
    <row r="268">
      <c r="A268" s="20">
        <f>_xlfn.TEXTJOIN("", TRUE, F268:H268)</f>
        <v/>
      </c>
      <c r="B268" s="21">
        <f>_xlfn.TEXTJOIN("", TRUE, I268:S268)</f>
        <v/>
      </c>
      <c r="C268" s="21">
        <f>IF(ISBLANK(X268),"", _xlfn.TEXTJOIN("",TRUE,T268:Z268))</f>
        <v/>
      </c>
      <c r="D268" s="21">
        <f>IF(ISBLANK(AB268), "", _xlfn.TEXTJOIN("", TRUE, AA268:AC268))</f>
        <v/>
      </c>
      <c r="E268" s="22">
        <f>IF(AU268="NA", _xlfn.TEXTJOIN("", TRUE, AD268:AH268), _xlfn.TEXTJOIN("", TRUE, AD268:AJ268))</f>
        <v/>
      </c>
      <c r="F268" s="42">
        <f>IF(LEFT(G268,4)="FY26","&lt;b&gt;","&lt;i&gt;")</f>
        <v/>
      </c>
      <c r="G268" s="42" t="inlineStr">
        <is>
          <t>FY27 Enhancement</t>
        </is>
      </c>
      <c r="H268" s="42">
        <f>IF(LEFT(G268,4)="FY26","&lt;/b&gt;","&lt;/i&gt;")</f>
        <v/>
      </c>
      <c r="I268" s="43" t="inlineStr">
        <is>
          <t>&lt;i&gt;</t>
        </is>
      </c>
      <c r="J268" s="44" t="inlineStr">
        <is>
          <t>Natural Resources</t>
        </is>
      </c>
      <c r="K268" s="44" t="inlineStr">
        <is>
          <t>&lt;/i&gt;</t>
        </is>
      </c>
      <c r="L268" s="4">
        <f>IF(ISBLANK(N268),"","&lt;br&gt;")</f>
        <v/>
      </c>
      <c r="M268" s="42">
        <f>IF(ISBLANK(R268),"&lt;b&gt;","&lt;i&gt;")</f>
        <v/>
      </c>
      <c r="N268" s="42" t="inlineStr">
        <is>
          <t>Land Board</t>
        </is>
      </c>
      <c r="O268" s="42">
        <f>IF(ISBLANK(R268),"&lt;/b&gt;","&lt;/i&gt;")</f>
        <v/>
      </c>
      <c r="P268" s="4">
        <f>IF(ISBLANK(R268),"","&lt;br&gt;")</f>
        <v/>
      </c>
      <c r="Q268" s="42">
        <f>IF(ISBLANK(R268),"","&lt;b&gt;")</f>
        <v/>
      </c>
      <c r="R268" s="42" t="inlineStr">
        <is>
          <t>Endowment Fund Investment Board</t>
        </is>
      </c>
      <c r="S268" s="42">
        <f>IF(ISBLANK(R268),"","&lt;/i&gt;")</f>
        <v/>
      </c>
      <c r="T268" s="42">
        <f>IF(ISBLANK(X268),"",IF(OR(AB268="PASSED",ISBLANK(N268)),"&lt;b&gt;","&lt;i&gt;"))</f>
        <v/>
      </c>
      <c r="U268" s="3">
        <f>IF(ISBLANK(V268),"","&lt;a href='")</f>
        <v/>
      </c>
      <c r="V268" s="13" t="inlineStr">
        <is>
          <t>https://legislature.idaho.gov/sessioninfo/2026/legislation/S1380/</t>
        </is>
      </c>
      <c r="W268" s="17">
        <f>IF(ISBLANK(V268),"","'&gt;")</f>
        <v/>
      </c>
      <c r="X268" s="12" t="inlineStr">
        <is>
          <t>Senate Bill 1380</t>
        </is>
      </c>
      <c r="Y268" s="17">
        <f>IF(ISBLANK(X268),"","&lt;/a&gt;")</f>
        <v/>
      </c>
      <c r="Z268" s="42">
        <f>IF(ISBLANK(X268),"",IF(OR(AB268="PASSED",ISBLANK(N268)),"&lt;/b&gt;","&lt;/i&gt;"))</f>
        <v/>
      </c>
      <c r="AA268" s="43">
        <f>IF(AB268="PASSED","&lt;b&gt;","")</f>
        <v/>
      </c>
      <c r="AB268" s="45" t="inlineStr">
        <is>
          <t>INTRODUCED</t>
        </is>
      </c>
      <c r="AC268" s="43">
        <f>IF(AB268="PASSED","&lt;/b&gt;","")</f>
        <v/>
      </c>
      <c r="AD268" s="43">
        <f>IF(ISBLANK(AE268),"","&lt;b&gt;")</f>
        <v/>
      </c>
      <c r="AE268" s="51" t="inlineStr">
        <is>
          <t>03/04</t>
        </is>
      </c>
      <c r="AF268" s="42">
        <f>IF(ISBLANK(AE268),"",": ")</f>
        <v/>
      </c>
      <c r="AG268" s="42" t="inlineStr">
        <is>
          <t>JFAC Budget Setting</t>
        </is>
      </c>
      <c r="AH268" s="42">
        <f>IF(ISBLANK(AE268),"","&lt;/b&gt;")</f>
        <v/>
      </c>
      <c r="AI268" s="42" t="inlineStr">
        <is>
          <t>02/16: JFAC Budget Hearing</t>
        </is>
      </c>
      <c r="AJ268" s="42">
        <f>IF(ISBLANK(AI268),"","&lt;br&gt;"&amp;AI268)</f>
        <v/>
      </c>
      <c r="AK268" s="42" t="n"/>
      <c r="AL268" s="42" t="n"/>
      <c r="AM268" s="42" t="n"/>
      <c r="AN268" s="42">
        <f>IF(ISBLANK(AM268),"","&lt;/i&gt;")</f>
        <v/>
      </c>
      <c r="AO268" s="35">
        <f>IF(ISBLANK(AQ268),"","&lt;/b&gt;&lt;br&gt;&lt;br&gt;")</f>
        <v/>
      </c>
      <c r="AP268" s="42">
        <f>IF(ISBLANK(AQ268),"","&lt;b&gt;")</f>
        <v/>
      </c>
      <c r="AQ268" s="42" t="n"/>
      <c r="AR268" s="4" t="n"/>
      <c r="AS268" s="4">
        <f>IF(ISBLANK(AR268),""," %")</f>
        <v/>
      </c>
      <c r="AT268" s="4">
        <f t="array" ref="AT268">_xlfn.IFS(NOT(ISBLANK(AU268))," (pgs. ",NOT(ISBLANK(AS268))," (pg. ", ISBLANK(AS268), "")</f>
        <v/>
      </c>
      <c r="AU268" s="42" t="n"/>
      <c r="AV268" s="4">
        <f>IF(ISBLANK(AW268),"",", ")</f>
        <v/>
      </c>
      <c r="AW268" s="42" t="n"/>
      <c r="AX268" s="4">
        <f>IF(ISBLANK(AY268),"",",&lt;br&gt;")</f>
        <v/>
      </c>
      <c r="AY268" s="42" t="n"/>
      <c r="AZ268" s="49">
        <f>IF(ISBLANK(AU268),"",")&lt;/b&gt;")</f>
        <v/>
      </c>
      <c r="BA268" s="4">
        <f>IF(ISBLANK(BC268),"","&lt;br&gt;")</f>
        <v/>
      </c>
      <c r="BB268" s="42">
        <f t="array" ref="BB268">IF(ISBLANK(BC268),"",_xlfn.LET(
_xlpm.words,_xlfn.TEXTSPLIT(TRIM(BC268),"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68" s="50" t="n"/>
    </row>
    <row r="269">
      <c r="A269" s="20">
        <f>_xlfn.TEXTJOIN("", TRUE, F269:H269)</f>
        <v/>
      </c>
      <c r="B269" s="21">
        <f>_xlfn.TEXTJOIN("", TRUE, I269:S269)</f>
        <v/>
      </c>
      <c r="C269" s="21">
        <f>IF(ISBLANK(X269),"", _xlfn.TEXTJOIN("",TRUE,T269:Z269))</f>
        <v/>
      </c>
      <c r="D269" s="21">
        <f>IF(ISBLANK(AB269), "", _xlfn.TEXTJOIN("", TRUE, AA269:AC269))</f>
        <v/>
      </c>
      <c r="E269" s="22">
        <f>IF(AU269="NA", _xlfn.TEXTJOIN("", TRUE, AD269:AH269), _xlfn.TEXTJOIN("", TRUE, AD269:AJ269))</f>
        <v/>
      </c>
      <c r="F269" s="42">
        <f>IF(LEFT(G269,4)="FY26","&lt;b&gt;","&lt;i&gt;")</f>
        <v/>
      </c>
      <c r="G269" s="42" t="inlineStr">
        <is>
          <t>FY27 Enhancement</t>
        </is>
      </c>
      <c r="H269" s="42">
        <f>IF(LEFT(G269,4)="FY26","&lt;/b&gt;","&lt;/i&gt;")</f>
        <v/>
      </c>
      <c r="I269" s="43" t="inlineStr">
        <is>
          <t>&lt;i&gt;</t>
        </is>
      </c>
      <c r="J269" s="44" t="inlineStr">
        <is>
          <t>Economic Development</t>
        </is>
      </c>
      <c r="K269" s="44" t="inlineStr">
        <is>
          <t>&lt;/i&gt;</t>
        </is>
      </c>
      <c r="L269" s="4">
        <f>IF(ISBLANK(N269),"","&lt;br&gt;")</f>
        <v/>
      </c>
      <c r="M269" s="42">
        <f>IF(ISBLANK(R269),"&lt;b&gt;","&lt;i&gt;")</f>
        <v/>
      </c>
      <c r="N269" s="42" t="inlineStr">
        <is>
          <t>Dept. of Self-Governing Agencies</t>
        </is>
      </c>
      <c r="O269" s="42">
        <f>IF(ISBLANK(R269),"&lt;/b&gt;","&lt;/i&gt;")</f>
        <v/>
      </c>
      <c r="P269" s="4">
        <f>IF(ISBLANK(R269),"","&lt;br&gt;")</f>
        <v/>
      </c>
      <c r="Q269" s="42">
        <f>IF(ISBLANK(R269),"","&lt;b&gt;")</f>
        <v/>
      </c>
      <c r="R269" s="42" t="inlineStr">
        <is>
          <t>Comm. of Pardons &amp; Parole</t>
        </is>
      </c>
      <c r="S269" s="42">
        <f>IF(ISBLANK(R269),"","&lt;/i&gt;")</f>
        <v/>
      </c>
      <c r="T269" s="42">
        <f>IF(ISBLANK(X269),"",IF(OR(AB269="PASSED",ISBLANK(N269)),"&lt;b&gt;","&lt;i&gt;"))</f>
        <v/>
      </c>
      <c r="U269" s="3">
        <f>IF(ISBLANK(V269),"","&lt;a href='")</f>
        <v/>
      </c>
      <c r="V269" s="13" t="inlineStr">
        <is>
          <t>https://legislature.idaho.gov/sessioninfo/rs/</t>
        </is>
      </c>
      <c r="W269" s="17">
        <f>IF(ISBLANK(V269),"","'&gt;")</f>
        <v/>
      </c>
      <c r="X269" s="12" t="inlineStr">
        <is>
          <t>Enhancement</t>
        </is>
      </c>
      <c r="Y269" s="17">
        <f>IF(ISBLANK(X269),"","&lt;/a&gt;")</f>
        <v/>
      </c>
      <c r="Z269" s="42">
        <f>IF(ISBLANK(X269),"",IF(OR(AB269="PASSED",ISBLANK(N269)),"&lt;/b&gt;","&lt;/i&gt;"))</f>
        <v/>
      </c>
      <c r="AA269" s="43">
        <f>IF(AB269="PASSED","&lt;b&gt;","")</f>
        <v/>
      </c>
      <c r="AB269" s="45" t="inlineStr">
        <is>
          <t>INTRODUCED</t>
        </is>
      </c>
      <c r="AC269" s="43">
        <f>IF(AB269="PASSED","&lt;/b&gt;","")</f>
        <v/>
      </c>
      <c r="AD269" s="43">
        <f>IF(ISBLANK(AE269),"","&lt;b&gt;")</f>
        <v/>
      </c>
      <c r="AE269" s="51" t="inlineStr">
        <is>
          <t>03/03</t>
        </is>
      </c>
      <c r="AF269" s="42">
        <f>IF(ISBLANK(AE269),"",": ")</f>
        <v/>
      </c>
      <c r="AG269" s="42" t="inlineStr">
        <is>
          <t>JFAC Budget Setting</t>
        </is>
      </c>
      <c r="AH269" s="42">
        <f>IF(ISBLANK(AE269),"","&lt;/b&gt;")</f>
        <v/>
      </c>
      <c r="AI269" s="42" t="inlineStr">
        <is>
          <t>01/26: JFAC Budget Hearing</t>
        </is>
      </c>
      <c r="AJ269" s="42">
        <f>IF(ISBLANK(AI269),"","&lt;br&gt;"&amp;AI269)</f>
        <v/>
      </c>
      <c r="AK269" s="42" t="n"/>
      <c r="AL269" s="42" t="n"/>
      <c r="AM269" s="42" t="n"/>
      <c r="AN269" s="42">
        <f>IF(ISBLANK(AM269),"","&lt;/i&gt;")</f>
        <v/>
      </c>
      <c r="AO269" s="35">
        <f>IF(ISBLANK(AQ269),"","&lt;/b&gt;&lt;br&gt;&lt;br&gt;")</f>
        <v/>
      </c>
      <c r="AP269" s="42">
        <f>IF(ISBLANK(AQ269),"","&lt;b&gt;")</f>
        <v/>
      </c>
      <c r="AQ269" s="42" t="n"/>
      <c r="AR269" s="4" t="n"/>
      <c r="AS269" s="4">
        <f>IF(ISBLANK(AR269),""," %")</f>
        <v/>
      </c>
      <c r="AT269" s="4">
        <f t="array" ref="AT269">_xlfn.IFS(NOT(ISBLANK(AU269))," (pgs. ",NOT(ISBLANK(AS269))," (pg. ", ISBLANK(AS269), "")</f>
        <v/>
      </c>
      <c r="AU269" s="42" t="n"/>
      <c r="AV269" s="4">
        <f>IF(ISBLANK(AW269),"",", ")</f>
        <v/>
      </c>
      <c r="AW269" s="42" t="n"/>
      <c r="AX269" s="4">
        <f>IF(ISBLANK(AY269),"",",&lt;br&gt;")</f>
        <v/>
      </c>
      <c r="AY269" s="42" t="n"/>
      <c r="AZ269" s="49">
        <f>IF(ISBLANK(AU269),"",")&lt;/b&gt;")</f>
        <v/>
      </c>
      <c r="BA269" s="4">
        <f>IF(ISBLANK(BC269),"","&lt;br&gt;")</f>
        <v/>
      </c>
      <c r="BB269" s="42">
        <f t="array" ref="BB269">IF(ISBLANK(BC269),"",_xlfn.LET(
_xlpm.words,_xlfn.TEXTSPLIT(TRIM(BC269),"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69" s="50" t="n"/>
    </row>
    <row r="270">
      <c r="A270" s="20">
        <f>_xlfn.TEXTJOIN("", TRUE, F270:H270)</f>
        <v/>
      </c>
      <c r="B270" s="21">
        <f>_xlfn.TEXTJOIN("", TRUE, I270:S270)</f>
        <v/>
      </c>
      <c r="C270" s="21">
        <f>IF(ISBLANK(X270),"", _xlfn.TEXTJOIN("",TRUE,T270:Z270))</f>
        <v/>
      </c>
      <c r="D270" s="21">
        <f>IF(ISBLANK(AB270), "", _xlfn.TEXTJOIN("", TRUE, AA270:AC270))</f>
        <v/>
      </c>
      <c r="E270" s="22">
        <f>IF(AU270="NA", _xlfn.TEXTJOIN("", TRUE, AD270:AH270), _xlfn.TEXTJOIN("", TRUE, AD270:AJ270))</f>
        <v/>
      </c>
      <c r="F270" s="42">
        <f>IF(LEFT(G270,4)="FY26","&lt;b&gt;","&lt;i&gt;")</f>
        <v/>
      </c>
      <c r="G270" s="42" t="inlineStr">
        <is>
          <t>FY27 Enhancement</t>
        </is>
      </c>
      <c r="H270" s="42">
        <f>IF(LEFT(G270,4)="FY26","&lt;/b&gt;","&lt;/i&gt;")</f>
        <v/>
      </c>
      <c r="I270" s="43" t="inlineStr">
        <is>
          <t>&lt;i&gt;</t>
        </is>
      </c>
      <c r="J270" s="44" t="inlineStr">
        <is>
          <t>Health &amp; Human Services</t>
        </is>
      </c>
      <c r="K270" s="44" t="inlineStr">
        <is>
          <t>&lt;/i&gt;</t>
        </is>
      </c>
      <c r="L270" s="4">
        <f>IF(ISBLANK(N270),"","&lt;br&gt;")</f>
        <v/>
      </c>
      <c r="M270" s="42">
        <f>IF(ISBLANK(R270),"&lt;b&gt;","&lt;i&gt;")</f>
        <v/>
      </c>
      <c r="N270" s="42" t="inlineStr">
        <is>
          <t>Dept. of Health &amp; Welfare</t>
        </is>
      </c>
      <c r="O270" s="42">
        <f>IF(ISBLANK(R270),"&lt;/b&gt;","&lt;/i&gt;")</f>
        <v/>
      </c>
      <c r="P270" s="4">
        <f>IF(ISBLANK(R270),"","&lt;br&gt;")</f>
        <v/>
      </c>
      <c r="Q270" s="42">
        <f>IF(ISBLANK(R270),"","&lt;b&gt;")</f>
        <v/>
      </c>
      <c r="R270" s="42" t="inlineStr">
        <is>
          <t>Div. of Welfare</t>
        </is>
      </c>
      <c r="S270" s="42">
        <f>IF(ISBLANK(R270),"","&lt;/i&gt;")</f>
        <v/>
      </c>
      <c r="T270" s="42">
        <f>IF(ISBLANK(X270),"",IF(OR(AB270="PASSED",ISBLANK(N270)),"&lt;b&gt;","&lt;i&gt;"))</f>
        <v/>
      </c>
      <c r="U270" s="3">
        <f>IF(ISBLANK(V270),"","&lt;a href='")</f>
        <v/>
      </c>
      <c r="V270" s="13" t="inlineStr">
        <is>
          <t>https://legislature.idaho.gov/sessioninfo/rs/</t>
        </is>
      </c>
      <c r="W270" s="17">
        <f>IF(ISBLANK(V270),"","'&gt;")</f>
        <v/>
      </c>
      <c r="X270" s="12" t="inlineStr">
        <is>
          <t>Enhancement</t>
        </is>
      </c>
      <c r="Y270" s="17">
        <f>IF(ISBLANK(X270),"","&lt;/a&gt;")</f>
        <v/>
      </c>
      <c r="Z270" s="42">
        <f>IF(ISBLANK(X270),"",IF(OR(AB270="PASSED",ISBLANK(N270)),"&lt;/b&gt;","&lt;/i&gt;"))</f>
        <v/>
      </c>
      <c r="AA270" s="43">
        <f>IF(AB270="PASSED","&lt;b&gt;","")</f>
        <v/>
      </c>
      <c r="AB270" s="45" t="inlineStr">
        <is>
          <t>MOTION FAILED</t>
        </is>
      </c>
      <c r="AC270" s="43">
        <f>IF(AB270="PASSED","&lt;/b&gt;","")</f>
        <v/>
      </c>
      <c r="AD270" s="43">
        <f>IF(ISBLANK(AE270),"","&lt;b&gt;")</f>
        <v/>
      </c>
      <c r="AE270" s="51" t="inlineStr">
        <is>
          <t>03/03</t>
        </is>
      </c>
      <c r="AF270" s="42">
        <f>IF(ISBLANK(AE270),"",": ")</f>
        <v/>
      </c>
      <c r="AG270" s="42" t="inlineStr">
        <is>
          <t>JFAC Budget Setting</t>
        </is>
      </c>
      <c r="AH270" s="42">
        <f>IF(ISBLANK(AE270),"","&lt;/b&gt;")</f>
        <v/>
      </c>
      <c r="AI270" s="42" t="inlineStr">
        <is>
          <t>01/30: JFAC Budget Hearing</t>
        </is>
      </c>
      <c r="AJ270" s="42">
        <f>IF(ISBLANK(AI270),"","&lt;br&gt;"&amp;AI270)</f>
        <v/>
      </c>
      <c r="AK270" s="42" t="n"/>
      <c r="AL270" s="42" t="n"/>
      <c r="AM270" s="42" t="n"/>
      <c r="AN270" s="42">
        <f>IF(ISBLANK(AM270),"","&lt;/i&gt;")</f>
        <v/>
      </c>
      <c r="AO270" s="35">
        <f>IF(ISBLANK(AQ270),"","&lt;/b&gt;&lt;br&gt;&lt;br&gt;")</f>
        <v/>
      </c>
      <c r="AP270" s="42">
        <f>IF(ISBLANK(AQ270),"","&lt;b&gt;")</f>
        <v/>
      </c>
      <c r="AQ270" s="42" t="n"/>
      <c r="AR270" s="4" t="n"/>
      <c r="AS270" s="4">
        <f>IF(ISBLANK(AR270),""," %")</f>
        <v/>
      </c>
      <c r="AT270" s="4">
        <f t="array" ref="AT270">_xlfn.IFS(NOT(ISBLANK(AU270))," (pgs. ",NOT(ISBLANK(AS270))," (pg. ", ISBLANK(AS270), "")</f>
        <v/>
      </c>
      <c r="AU270" s="42" t="n"/>
      <c r="AV270" s="4">
        <f>IF(ISBLANK(AW270),"",", ")</f>
        <v/>
      </c>
      <c r="AW270" s="42" t="n"/>
      <c r="AX270" s="4">
        <f>IF(ISBLANK(AY270),"",",&lt;br&gt;")</f>
        <v/>
      </c>
      <c r="AY270" s="42" t="n"/>
      <c r="AZ270" s="49">
        <f>IF(ISBLANK(AU270),"",")&lt;/b&gt;")</f>
        <v/>
      </c>
      <c r="BA270" s="4">
        <f>IF(ISBLANK(BC270),"","&lt;br&gt;")</f>
        <v/>
      </c>
      <c r="BB270" s="42">
        <f t="array" ref="BB270">IF(ISBLANK(BC270),"",_xlfn.LET(
_xlpm.words,_xlfn.TEXTSPLIT(TRIM(BC270),"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70" s="50" t="n"/>
    </row>
    <row r="271">
      <c r="A271" s="20">
        <f>_xlfn.TEXTJOIN("", TRUE, F271:H271)</f>
        <v/>
      </c>
      <c r="B271" s="21">
        <f>_xlfn.TEXTJOIN("", TRUE, I271:S271)</f>
        <v/>
      </c>
      <c r="C271" s="21">
        <f>IF(ISBLANK(X271),"", _xlfn.TEXTJOIN("",TRUE,T271:Z271))</f>
        <v/>
      </c>
      <c r="D271" s="21">
        <f>IF(ISBLANK(AB271), "", _xlfn.TEXTJOIN("", TRUE, AA271:AC271))</f>
        <v/>
      </c>
      <c r="E271" s="22">
        <f>IF(AU271="NA", _xlfn.TEXTJOIN("", TRUE, AD271:AH271), _xlfn.TEXTJOIN("", TRUE, AD271:AJ271))</f>
        <v/>
      </c>
      <c r="F271" s="42">
        <f>IF(LEFT(G271,4)="FY26","&lt;b&gt;","&lt;i&gt;")</f>
        <v/>
      </c>
      <c r="G271" s="42" t="inlineStr">
        <is>
          <t>FY27 Enhancement</t>
        </is>
      </c>
      <c r="H271" s="42">
        <f>IF(LEFT(G271,4)="FY26","&lt;/b&gt;","&lt;/i&gt;")</f>
        <v/>
      </c>
      <c r="I271" s="43" t="inlineStr">
        <is>
          <t>&lt;i&gt;</t>
        </is>
      </c>
      <c r="J271" s="44" t="inlineStr">
        <is>
          <t>Health &amp; Human Services</t>
        </is>
      </c>
      <c r="K271" s="44" t="inlineStr">
        <is>
          <t>&lt;/i&gt;</t>
        </is>
      </c>
      <c r="L271" s="4">
        <f>IF(ISBLANK(N271),"","&lt;br&gt;")</f>
        <v/>
      </c>
      <c r="M271" s="42">
        <f>IF(ISBLANK(R271),"&lt;b&gt;","&lt;i&gt;")</f>
        <v/>
      </c>
      <c r="N271" s="42" t="inlineStr">
        <is>
          <t>Dept. of Health &amp; Welfare</t>
        </is>
      </c>
      <c r="O271" s="42">
        <f>IF(ISBLANK(R271),"&lt;/b&gt;","&lt;/i&gt;")</f>
        <v/>
      </c>
      <c r="P271" s="4">
        <f>IF(ISBLANK(R271),"","&lt;br&gt;")</f>
        <v/>
      </c>
      <c r="Q271" s="42">
        <f>IF(ISBLANK(R271),"","&lt;b&gt;")</f>
        <v/>
      </c>
      <c r="R271" s="42" t="inlineStr">
        <is>
          <t>Mental Health Services</t>
        </is>
      </c>
      <c r="S271" s="42">
        <f>IF(ISBLANK(R271),"","&lt;/i&gt;")</f>
        <v/>
      </c>
      <c r="T271" s="42">
        <f>IF(ISBLANK(X271),"",IF(OR(AB271="PASSED",ISBLANK(N271)),"&lt;b&gt;","&lt;i&gt;"))</f>
        <v/>
      </c>
      <c r="U271" s="3">
        <f>IF(ISBLANK(V271),"","&lt;a href='")</f>
        <v/>
      </c>
      <c r="V271" s="13" t="inlineStr">
        <is>
          <t>https://legislature.idaho.gov/sessioninfo/rs/</t>
        </is>
      </c>
      <c r="W271" s="17">
        <f>IF(ISBLANK(V271),"","'&gt;")</f>
        <v/>
      </c>
      <c r="X271" s="12" t="inlineStr">
        <is>
          <t>Enhancement</t>
        </is>
      </c>
      <c r="Y271" s="17">
        <f>IF(ISBLANK(X271),"","&lt;/a&gt;")</f>
        <v/>
      </c>
      <c r="Z271" s="42">
        <f>IF(ISBLANK(X271),"",IF(OR(AB271="PASSED",ISBLANK(N271)),"&lt;/b&gt;","&lt;/i&gt;"))</f>
        <v/>
      </c>
      <c r="AA271" s="43">
        <f>IF(AB271="PASSED","&lt;b&gt;","")</f>
        <v/>
      </c>
      <c r="AB271" s="45" t="inlineStr">
        <is>
          <t>INTRODUCED</t>
        </is>
      </c>
      <c r="AC271" s="43">
        <f>IF(AB271="PASSED","&lt;/b&gt;","")</f>
        <v/>
      </c>
      <c r="AD271" s="43">
        <f>IF(ISBLANK(AE271),"","&lt;b&gt;")</f>
        <v/>
      </c>
      <c r="AE271" s="51" t="inlineStr">
        <is>
          <t>03/03</t>
        </is>
      </c>
      <c r="AF271" s="42">
        <f>IF(ISBLANK(AE271),"",": ")</f>
        <v/>
      </c>
      <c r="AG271" s="42" t="inlineStr">
        <is>
          <t>JFAC Budget Setting</t>
        </is>
      </c>
      <c r="AH271" s="42">
        <f>IF(ISBLANK(AE271),"","&lt;/b&gt;")</f>
        <v/>
      </c>
      <c r="AI271" s="42" t="inlineStr">
        <is>
          <t>01/30: JFAC Budget Hearing</t>
        </is>
      </c>
      <c r="AJ271" s="42">
        <f>IF(ISBLANK(AI271),"","&lt;br&gt;"&amp;AI271)</f>
        <v/>
      </c>
      <c r="AK271" s="42" t="n"/>
      <c r="AL271" s="42" t="n"/>
      <c r="AM271" s="42" t="n"/>
      <c r="AN271" s="42">
        <f>IF(ISBLANK(AM271),"","&lt;/i&gt;")</f>
        <v/>
      </c>
      <c r="AO271" s="35">
        <f>IF(ISBLANK(AQ271),"","&lt;/b&gt;&lt;br&gt;&lt;br&gt;")</f>
        <v/>
      </c>
      <c r="AP271" s="42">
        <f>IF(ISBLANK(AQ271),"","&lt;b&gt;")</f>
        <v/>
      </c>
      <c r="AQ271" s="42" t="n"/>
      <c r="AR271" s="4" t="n"/>
      <c r="AS271" s="4">
        <f>IF(ISBLANK(AR271),""," %")</f>
        <v/>
      </c>
      <c r="AT271" s="4">
        <f t="array" ref="AT271">_xlfn.IFS(NOT(ISBLANK(AU271))," (pgs. ",NOT(ISBLANK(AS271))," (pg. ", ISBLANK(AS271), "")</f>
        <v/>
      </c>
      <c r="AU271" s="42" t="n"/>
      <c r="AV271" s="4">
        <f>IF(ISBLANK(AW271),"",", ")</f>
        <v/>
      </c>
      <c r="AW271" s="42" t="n"/>
      <c r="AX271" s="4">
        <f>IF(ISBLANK(AY271),"",",&lt;br&gt;")</f>
        <v/>
      </c>
      <c r="AY271" s="42" t="n"/>
      <c r="AZ271" s="49">
        <f>IF(ISBLANK(AU271),"",")&lt;/b&gt;")</f>
        <v/>
      </c>
      <c r="BA271" s="4">
        <f>IF(ISBLANK(BC271),"","&lt;br&gt;")</f>
        <v/>
      </c>
      <c r="BB271" s="42">
        <f t="array" ref="BB271">IF(ISBLANK(BC271),"",_xlfn.LET(
_xlpm.words,_xlfn.TEXTSPLIT(TRIM(BC271),"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71" s="50" t="n"/>
    </row>
    <row r="272">
      <c r="A272" s="20">
        <f>_xlfn.TEXTJOIN("", TRUE, F272:H272)</f>
        <v/>
      </c>
      <c r="B272" s="21">
        <f>_xlfn.TEXTJOIN("", TRUE, I272:S272)</f>
        <v/>
      </c>
      <c r="C272" s="21">
        <f>IF(ISBLANK(X272),"", _xlfn.TEXTJOIN("",TRUE,T272:Z272))</f>
        <v/>
      </c>
      <c r="D272" s="21">
        <f>IF(ISBLANK(AB272), "", _xlfn.TEXTJOIN("", TRUE, AA272:AC272))</f>
        <v/>
      </c>
      <c r="E272" s="22">
        <f>IF(AU272="NA", _xlfn.TEXTJOIN("", TRUE, AD272:AH272), _xlfn.TEXTJOIN("", TRUE, AD272:AJ272))</f>
        <v/>
      </c>
      <c r="F272" s="42">
        <f>IF(LEFT(G272,4)="FY26","&lt;b&gt;","&lt;i&gt;")</f>
        <v/>
      </c>
      <c r="G272" s="42" t="inlineStr">
        <is>
          <t>FY27 Enhancement</t>
        </is>
      </c>
      <c r="H272" s="42">
        <f>IF(LEFT(G272,4)="FY26","&lt;/b&gt;","&lt;/i&gt;")</f>
        <v/>
      </c>
      <c r="I272" s="43" t="inlineStr">
        <is>
          <t>&lt;i&gt;</t>
        </is>
      </c>
      <c r="J272" s="44" t="inlineStr">
        <is>
          <t>Health &amp; Human Services</t>
        </is>
      </c>
      <c r="K272" s="44" t="inlineStr">
        <is>
          <t>&lt;/i&gt;</t>
        </is>
      </c>
      <c r="L272" s="4">
        <f>IF(ISBLANK(N272),"","&lt;br&gt;")</f>
        <v/>
      </c>
      <c r="M272" s="42">
        <f>IF(ISBLANK(R272),"&lt;b&gt;","&lt;i&gt;")</f>
        <v/>
      </c>
      <c r="N272" s="42" t="inlineStr">
        <is>
          <t>Dept. of Health &amp; Welfare</t>
        </is>
      </c>
      <c r="O272" s="42">
        <f>IF(ISBLANK(R272),"&lt;/b&gt;","&lt;/i&gt;")</f>
        <v/>
      </c>
      <c r="P272" s="4">
        <f>IF(ISBLANK(R272),"","&lt;br&gt;")</f>
        <v/>
      </c>
      <c r="Q272" s="42">
        <f>IF(ISBLANK(R272),"","&lt;b&gt;")</f>
        <v/>
      </c>
      <c r="R272" s="42" t="inlineStr">
        <is>
          <t>Psychiatric Hospitalization</t>
        </is>
      </c>
      <c r="S272" s="42">
        <f>IF(ISBLANK(R272),"","&lt;/i&gt;")</f>
        <v/>
      </c>
      <c r="T272" s="42">
        <f>IF(ISBLANK(X272),"",IF(OR(AB272="PASSED",ISBLANK(N272)),"&lt;b&gt;","&lt;i&gt;"))</f>
        <v/>
      </c>
      <c r="U272" s="3">
        <f>IF(ISBLANK(V272),"","&lt;a href='")</f>
        <v/>
      </c>
      <c r="V272" s="13" t="inlineStr">
        <is>
          <t>https://legislature.idaho.gov/sessioninfo/rs/</t>
        </is>
      </c>
      <c r="W272" s="17">
        <f>IF(ISBLANK(V272),"","'&gt;")</f>
        <v/>
      </c>
      <c r="X272" s="12" t="inlineStr">
        <is>
          <t>Enhancement</t>
        </is>
      </c>
      <c r="Y272" s="17">
        <f>IF(ISBLANK(X272),"","&lt;/a&gt;")</f>
        <v/>
      </c>
      <c r="Z272" s="42">
        <f>IF(ISBLANK(X272),"",IF(OR(AB272="PASSED",ISBLANK(N272)),"&lt;/b&gt;","&lt;/i&gt;"))</f>
        <v/>
      </c>
      <c r="AA272" s="43">
        <f>IF(AB272="PASSED","&lt;b&gt;","")</f>
        <v/>
      </c>
      <c r="AB272" s="45" t="inlineStr">
        <is>
          <t>INTRODUCED</t>
        </is>
      </c>
      <c r="AC272" s="43">
        <f>IF(AB272="PASSED","&lt;/b&gt;","")</f>
        <v/>
      </c>
      <c r="AD272" s="43">
        <f>IF(ISBLANK(AE272),"","&lt;b&gt;")</f>
        <v/>
      </c>
      <c r="AE272" s="51" t="inlineStr">
        <is>
          <t>03/03</t>
        </is>
      </c>
      <c r="AF272" s="42">
        <f>IF(ISBLANK(AE272),"",": ")</f>
        <v/>
      </c>
      <c r="AG272" s="42" t="inlineStr">
        <is>
          <t>JFAC Budget Setting</t>
        </is>
      </c>
      <c r="AH272" s="42">
        <f>IF(ISBLANK(AE272),"","&lt;/b&gt;")</f>
        <v/>
      </c>
      <c r="AI272" s="42" t="inlineStr">
        <is>
          <t>01/30: JFAC Budget Hearing</t>
        </is>
      </c>
      <c r="AJ272" s="42">
        <f>IF(ISBLANK(AI272),"","&lt;br&gt;"&amp;AI272)</f>
        <v/>
      </c>
      <c r="AK272" s="42" t="n"/>
      <c r="AL272" s="42" t="n"/>
      <c r="AM272" s="42" t="n"/>
      <c r="AN272" s="42">
        <f>IF(ISBLANK(AM272),"","&lt;/i&gt;")</f>
        <v/>
      </c>
      <c r="AO272" s="35">
        <f>IF(ISBLANK(AQ272),"","&lt;/b&gt;&lt;br&gt;&lt;br&gt;")</f>
        <v/>
      </c>
      <c r="AP272" s="42">
        <f>IF(ISBLANK(AQ272),"","&lt;b&gt;")</f>
        <v/>
      </c>
      <c r="AQ272" s="42" t="n"/>
      <c r="AR272" s="4" t="n"/>
      <c r="AS272" s="4">
        <f>IF(ISBLANK(AR272),""," %")</f>
        <v/>
      </c>
      <c r="AT272" s="4">
        <f t="array" ref="AT272">_xlfn.IFS(NOT(ISBLANK(AU272))," (pgs. ",NOT(ISBLANK(AS272))," (pg. ", ISBLANK(AS272), "")</f>
        <v/>
      </c>
      <c r="AU272" s="42" t="n"/>
      <c r="AV272" s="4">
        <f>IF(ISBLANK(AW272),"",", ")</f>
        <v/>
      </c>
      <c r="AW272" s="42" t="n"/>
      <c r="AX272" s="4">
        <f>IF(ISBLANK(AY272),"",",&lt;br&gt;")</f>
        <v/>
      </c>
      <c r="AY272" s="42" t="n"/>
      <c r="AZ272" s="49">
        <f>IF(ISBLANK(AU272),"",")&lt;/b&gt;")</f>
        <v/>
      </c>
      <c r="BA272" s="4">
        <f>IF(ISBLANK(BC272),"","&lt;br&gt;")</f>
        <v/>
      </c>
      <c r="BB272" s="42">
        <f t="array" ref="BB272">IF(ISBLANK(BC272),"",_xlfn.LET(
_xlpm.words,_xlfn.TEXTSPLIT(TRIM(BC272),"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72" s="50" t="n"/>
    </row>
    <row r="273">
      <c r="A273" s="20">
        <f>_xlfn.TEXTJOIN("", TRUE, F273:H273)</f>
        <v/>
      </c>
      <c r="B273" s="21">
        <f>_xlfn.TEXTJOIN("", TRUE, I273:S273)</f>
        <v/>
      </c>
      <c r="C273" s="21">
        <f>IF(ISBLANK(X273),"", _xlfn.TEXTJOIN("",TRUE,T273:Z273))</f>
        <v/>
      </c>
      <c r="D273" s="21">
        <f>IF(ISBLANK(AB273), "", _xlfn.TEXTJOIN("", TRUE, AA273:AC273))</f>
        <v/>
      </c>
      <c r="E273" s="22">
        <f>IF(AU273="NA", _xlfn.TEXTJOIN("", TRUE, AD273:AH273), _xlfn.TEXTJOIN("", TRUE, AD273:AJ273))</f>
        <v/>
      </c>
      <c r="F273" s="42">
        <f>IF(LEFT(G273,4)="FY26","&lt;b&gt;","&lt;i&gt;")</f>
        <v/>
      </c>
      <c r="G273" s="42" t="inlineStr">
        <is>
          <t>FY27 Enhancement</t>
        </is>
      </c>
      <c r="H273" s="42">
        <f>IF(LEFT(G273,4)="FY26","&lt;/b&gt;","&lt;/i&gt;")</f>
        <v/>
      </c>
      <c r="I273" s="43" t="inlineStr">
        <is>
          <t>&lt;i&gt;</t>
        </is>
      </c>
      <c r="J273" s="44" t="inlineStr">
        <is>
          <t>Health &amp; Human Services</t>
        </is>
      </c>
      <c r="K273" s="44" t="inlineStr">
        <is>
          <t>&lt;/i&gt;</t>
        </is>
      </c>
      <c r="L273" s="4">
        <f>IF(ISBLANK(N273),"","&lt;br&gt;")</f>
        <v/>
      </c>
      <c r="M273" s="42">
        <f>IF(ISBLANK(R273),"&lt;b&gt;","&lt;i&gt;")</f>
        <v/>
      </c>
      <c r="N273" s="42" t="inlineStr">
        <is>
          <t>Dept. of Health &amp; Welfare</t>
        </is>
      </c>
      <c r="O273" s="42">
        <f>IF(ISBLANK(R273),"&lt;/b&gt;","&lt;/i&gt;")</f>
        <v/>
      </c>
      <c r="P273" s="4">
        <f>IF(ISBLANK(R273),"","&lt;br&gt;")</f>
        <v/>
      </c>
      <c r="Q273" s="42">
        <f>IF(ISBLANK(R273),"","&lt;b&gt;")</f>
        <v/>
      </c>
      <c r="R273" s="42" t="inlineStr">
        <is>
          <t>Substance Abuse Treatment &amp; Prevention</t>
        </is>
      </c>
      <c r="S273" s="42">
        <f>IF(ISBLANK(R273),"","&lt;/i&gt;")</f>
        <v/>
      </c>
      <c r="T273" s="42">
        <f>IF(ISBLANK(X273),"",IF(OR(AB273="PASSED",ISBLANK(N273)),"&lt;b&gt;","&lt;i&gt;"))</f>
        <v/>
      </c>
      <c r="U273" s="3">
        <f>IF(ISBLANK(V273),"","&lt;a href='")</f>
        <v/>
      </c>
      <c r="V273" s="13" t="inlineStr">
        <is>
          <t>https://legislature.idaho.gov/sessioninfo/rs/</t>
        </is>
      </c>
      <c r="W273" s="17">
        <f>IF(ISBLANK(V273),"","'&gt;")</f>
        <v/>
      </c>
      <c r="X273" s="12" t="inlineStr">
        <is>
          <t>Enhancement</t>
        </is>
      </c>
      <c r="Y273" s="17">
        <f>IF(ISBLANK(X273),"","&lt;/a&gt;")</f>
        <v/>
      </c>
      <c r="Z273" s="42">
        <f>IF(ISBLANK(X273),"",IF(OR(AB273="PASSED",ISBLANK(N273)),"&lt;/b&gt;","&lt;/i&gt;"))</f>
        <v/>
      </c>
      <c r="AA273" s="43">
        <f>IF(AB273="PASSED","&lt;b&gt;","")</f>
        <v/>
      </c>
      <c r="AB273" s="45" t="inlineStr">
        <is>
          <t>INTRODUCED</t>
        </is>
      </c>
      <c r="AC273" s="43">
        <f>IF(AB273="PASSED","&lt;/b&gt;","")</f>
        <v/>
      </c>
      <c r="AD273" s="43">
        <f>IF(ISBLANK(AE273),"","&lt;b&gt;")</f>
        <v/>
      </c>
      <c r="AE273" s="51" t="inlineStr">
        <is>
          <t>03/03</t>
        </is>
      </c>
      <c r="AF273" s="42">
        <f>IF(ISBLANK(AE273),"",": ")</f>
        <v/>
      </c>
      <c r="AG273" s="42" t="inlineStr">
        <is>
          <t>JFAC Budget Setting</t>
        </is>
      </c>
      <c r="AH273" s="42">
        <f>IF(ISBLANK(AE273),"","&lt;/b&gt;")</f>
        <v/>
      </c>
      <c r="AI273" s="42" t="n"/>
      <c r="AJ273" s="42">
        <f>IF(ISBLANK(AI273),"","&lt;br&gt;"&amp;AI273)</f>
        <v/>
      </c>
      <c r="AK273" s="42" t="n"/>
      <c r="AL273" s="42" t="n"/>
      <c r="AM273" s="42" t="n"/>
      <c r="AN273" s="42">
        <f>IF(ISBLANK(AM273),"","&lt;/i&gt;")</f>
        <v/>
      </c>
      <c r="AO273" s="35">
        <f>IF(ISBLANK(AQ273),"","&lt;/b&gt;&lt;br&gt;&lt;br&gt;")</f>
        <v/>
      </c>
      <c r="AP273" s="42">
        <f>IF(ISBLANK(AQ273),"","&lt;b&gt;")</f>
        <v/>
      </c>
      <c r="AQ273" s="42" t="n"/>
      <c r="AR273" s="4" t="n"/>
      <c r="AS273" s="4">
        <f>IF(ISBLANK(AR273),""," %")</f>
        <v/>
      </c>
      <c r="AT273" s="4">
        <f t="array" ref="AT273">_xlfn.IFS(NOT(ISBLANK(AU273))," (pgs. ",NOT(ISBLANK(AS273))," (pg. ", ISBLANK(AS273), "")</f>
        <v/>
      </c>
      <c r="AU273" s="42" t="n"/>
      <c r="AV273" s="4">
        <f>IF(ISBLANK(AW273),"",", ")</f>
        <v/>
      </c>
      <c r="AW273" s="42" t="n"/>
      <c r="AX273" s="4">
        <f>IF(ISBLANK(AY273),"",",&lt;br&gt;")</f>
        <v/>
      </c>
      <c r="AY273" s="42" t="n"/>
      <c r="AZ273" s="49">
        <f>IF(ISBLANK(AU273),"",")&lt;/b&gt;")</f>
        <v/>
      </c>
      <c r="BA273" s="4">
        <f>IF(ISBLANK(BC273),"","&lt;br&gt;")</f>
        <v/>
      </c>
      <c r="BB273" s="42">
        <f t="array" ref="BB273">IF(ISBLANK(BC273),"",_xlfn.LET(
_xlpm.words,_xlfn.TEXTSPLIT(TRIM(BC273),"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73" s="50" t="n"/>
    </row>
    <row r="274">
      <c r="A274" s="20">
        <f>_xlfn.TEXTJOIN("", TRUE, F274:H274)</f>
        <v/>
      </c>
      <c r="B274" s="21">
        <f>_xlfn.TEXTJOIN("", TRUE, I274:S274)</f>
        <v/>
      </c>
      <c r="C274" s="21">
        <f>IF(ISBLANK(X274),"", _xlfn.TEXTJOIN("",TRUE,T274:Z274))</f>
        <v/>
      </c>
      <c r="D274" s="21">
        <f>IF(ISBLANK(AB274), "", _xlfn.TEXTJOIN("", TRUE, AA274:AC274))</f>
        <v/>
      </c>
      <c r="E274" s="22">
        <f>IF(AU274="NA", _xlfn.TEXTJOIN("", TRUE, AD274:AH274), _xlfn.TEXTJOIN("", TRUE, AD274:AJ274))</f>
        <v/>
      </c>
      <c r="F274" s="42">
        <f>IF(LEFT(G274,4)="FY26","&lt;b&gt;","&lt;i&gt;")</f>
        <v/>
      </c>
      <c r="G274" s="42" t="inlineStr">
        <is>
          <t>FY27 Enhancement</t>
        </is>
      </c>
      <c r="H274" s="42">
        <f>IF(LEFT(G274,4)="FY26","&lt;/b&gt;","&lt;/i&gt;")</f>
        <v/>
      </c>
      <c r="I274" s="43" t="inlineStr">
        <is>
          <t>&lt;i&gt;</t>
        </is>
      </c>
      <c r="J274" s="44" t="inlineStr">
        <is>
          <t>Public Safety</t>
        </is>
      </c>
      <c r="K274" s="44" t="inlineStr">
        <is>
          <t>&lt;/i&gt;</t>
        </is>
      </c>
      <c r="L274" s="4">
        <f>IF(ISBLANK(N274),"","&lt;br&gt;")</f>
        <v/>
      </c>
      <c r="M274" s="42">
        <f>IF(ISBLANK(R274),"&lt;b&gt;","&lt;i&gt;")</f>
        <v/>
      </c>
      <c r="N274" s="42" t="inlineStr">
        <is>
          <t>Dept. of Correction</t>
        </is>
      </c>
      <c r="O274" s="42">
        <f>IF(ISBLANK(R274),"&lt;/b&gt;","&lt;/i&gt;")</f>
        <v/>
      </c>
      <c r="P274" s="4">
        <f>IF(ISBLANK(R274),"","&lt;br&gt;")</f>
        <v/>
      </c>
      <c r="Q274" s="42">
        <f>IF(ISBLANK(R274),"","&lt;b&gt;")</f>
        <v/>
      </c>
      <c r="R274" s="42" t="inlineStr">
        <is>
          <t>Community Corrections</t>
        </is>
      </c>
      <c r="S274" s="42">
        <f>IF(ISBLANK(R274),"","&lt;/i&gt;")</f>
        <v/>
      </c>
      <c r="T274" s="42">
        <f>IF(ISBLANK(X274),"",IF(OR(AB274="PASSED",ISBLANK(N274)),"&lt;b&gt;","&lt;i&gt;"))</f>
        <v/>
      </c>
      <c r="U274" s="3">
        <f>IF(ISBLANK(V274),"","&lt;a href='")</f>
        <v/>
      </c>
      <c r="V274" s="13" t="inlineStr">
        <is>
          <t>https://legislature.idaho.gov/sessioninfo/rs/</t>
        </is>
      </c>
      <c r="W274" s="17">
        <f>IF(ISBLANK(V274),"","'&gt;")</f>
        <v/>
      </c>
      <c r="X274" s="12" t="inlineStr">
        <is>
          <t>Enhancement</t>
        </is>
      </c>
      <c r="Y274" s="17">
        <f>IF(ISBLANK(X274),"","&lt;/a&gt;")</f>
        <v/>
      </c>
      <c r="Z274" s="42">
        <f>IF(ISBLANK(X274),"",IF(OR(AB274="PASSED",ISBLANK(N274)),"&lt;/b&gt;","&lt;/i&gt;"))</f>
        <v/>
      </c>
      <c r="AA274" s="43">
        <f>IF(AB274="PASSED","&lt;b&gt;","")</f>
        <v/>
      </c>
      <c r="AB274" s="45" t="inlineStr">
        <is>
          <t>INTRODUCED</t>
        </is>
      </c>
      <c r="AC274" s="43">
        <f>IF(AB274="PASSED","&lt;/b&gt;","")</f>
        <v/>
      </c>
      <c r="AD274" s="43">
        <f>IF(ISBLANK(AE274),"","&lt;b&gt;")</f>
        <v/>
      </c>
      <c r="AE274" s="51" t="inlineStr">
        <is>
          <t>03/03</t>
        </is>
      </c>
      <c r="AF274" s="42">
        <f>IF(ISBLANK(AE274),"",": ")</f>
        <v/>
      </c>
      <c r="AG274" s="42" t="inlineStr">
        <is>
          <t>JFAC Budget Setting</t>
        </is>
      </c>
      <c r="AH274" s="42">
        <f>IF(ISBLANK(AE274),"","&lt;/b&gt;")</f>
        <v/>
      </c>
      <c r="AI274" s="42" t="inlineStr">
        <is>
          <t>01/26: JFAC Budget Hearing</t>
        </is>
      </c>
      <c r="AJ274" s="42">
        <f>IF(ISBLANK(AI274),"","&lt;br&gt;"&amp;AI274)</f>
        <v/>
      </c>
      <c r="AK274" s="42" t="n"/>
      <c r="AL274" s="42" t="n"/>
      <c r="AM274" s="42" t="n"/>
      <c r="AN274" s="42">
        <f>IF(ISBLANK(AM274),"","&lt;/i&gt;")</f>
        <v/>
      </c>
      <c r="AO274" s="35">
        <f>IF(ISBLANK(AQ274),"","&lt;/b&gt;&lt;br&gt;&lt;br&gt;")</f>
        <v/>
      </c>
      <c r="AP274" s="42">
        <f>IF(ISBLANK(AQ274),"","&lt;b&gt;")</f>
        <v/>
      </c>
      <c r="AQ274" s="42" t="n"/>
      <c r="AR274" s="4" t="n"/>
      <c r="AS274" s="4">
        <f>IF(ISBLANK(AR274),""," %")</f>
        <v/>
      </c>
      <c r="AT274" s="4">
        <f t="array" ref="AT274">_xlfn.IFS(NOT(ISBLANK(AU274))," (pgs. ",NOT(ISBLANK(AS274))," (pg. ", ISBLANK(AS274), "")</f>
        <v/>
      </c>
      <c r="AU274" s="42" t="n"/>
      <c r="AV274" s="4">
        <f>IF(ISBLANK(AW274),"",", ")</f>
        <v/>
      </c>
      <c r="AW274" s="42" t="n"/>
      <c r="AX274" s="4">
        <f>IF(ISBLANK(AY274),"",",&lt;br&gt;")</f>
        <v/>
      </c>
      <c r="AY274" s="42" t="n"/>
      <c r="AZ274" s="49">
        <f>IF(ISBLANK(AU274),"",")&lt;/b&gt;")</f>
        <v/>
      </c>
      <c r="BA274" s="4">
        <f>IF(ISBLANK(BC274),"","&lt;br&gt;")</f>
        <v/>
      </c>
      <c r="BB274" s="42">
        <f t="array" ref="BB274">IF(ISBLANK(BC274),"",_xlfn.LET(
_xlpm.words,_xlfn.TEXTSPLIT(TRIM(BC274),"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74" s="50" t="n"/>
    </row>
    <row r="275">
      <c r="A275" s="20">
        <f>_xlfn.TEXTJOIN("", TRUE, F275:H275)</f>
        <v/>
      </c>
      <c r="B275" s="21">
        <f>_xlfn.TEXTJOIN("", TRUE, I275:S275)</f>
        <v/>
      </c>
      <c r="C275" s="21">
        <f>IF(ISBLANK(X275),"", _xlfn.TEXTJOIN("",TRUE,T275:Z275))</f>
        <v/>
      </c>
      <c r="D275" s="21">
        <f>IF(ISBLANK(AB275), "", _xlfn.TEXTJOIN("", TRUE, AA275:AC275))</f>
        <v/>
      </c>
      <c r="E275" s="22">
        <f>IF(AU275="NA", _xlfn.TEXTJOIN("", TRUE, AD275:AH275), _xlfn.TEXTJOIN("", TRUE, AD275:AJ275))</f>
        <v/>
      </c>
      <c r="F275" s="42">
        <f>IF(LEFT(G275,4)="FY26","&lt;b&gt;","&lt;i&gt;")</f>
        <v/>
      </c>
      <c r="G275" s="42" t="inlineStr">
        <is>
          <t>FY27 Enhancement</t>
        </is>
      </c>
      <c r="H275" s="42">
        <f>IF(LEFT(G275,4)="FY26","&lt;/b&gt;","&lt;/i&gt;")</f>
        <v/>
      </c>
      <c r="I275" s="43" t="inlineStr">
        <is>
          <t>&lt;i&gt;</t>
        </is>
      </c>
      <c r="J275" s="44" t="inlineStr">
        <is>
          <t>Public Safety</t>
        </is>
      </c>
      <c r="K275" s="44" t="inlineStr">
        <is>
          <t>&lt;/i&gt;</t>
        </is>
      </c>
      <c r="L275" s="4">
        <f>IF(ISBLANK(N275),"","&lt;br&gt;")</f>
        <v/>
      </c>
      <c r="M275" s="42">
        <f>IF(ISBLANK(R275),"&lt;b&gt;","&lt;i&gt;")</f>
        <v/>
      </c>
      <c r="N275" s="42" t="inlineStr">
        <is>
          <t>Dept. of Correction</t>
        </is>
      </c>
      <c r="O275" s="42">
        <f>IF(ISBLANK(R275),"&lt;/b&gt;","&lt;/i&gt;")</f>
        <v/>
      </c>
      <c r="P275" s="4">
        <f>IF(ISBLANK(R275),"","&lt;br&gt;")</f>
        <v/>
      </c>
      <c r="Q275" s="42">
        <f>IF(ISBLANK(R275),"","&lt;b&gt;")</f>
        <v/>
      </c>
      <c r="R275" s="42" t="inlineStr">
        <is>
          <t>County &amp; Out-of-State Placement</t>
        </is>
      </c>
      <c r="S275" s="42">
        <f>IF(ISBLANK(R275),"","&lt;/i&gt;")</f>
        <v/>
      </c>
      <c r="T275" s="42">
        <f>IF(ISBLANK(X275),"",IF(OR(AB275="PASSED",ISBLANK(N275)),"&lt;b&gt;","&lt;i&gt;"))</f>
        <v/>
      </c>
      <c r="U275" s="3">
        <f>IF(ISBLANK(V275),"","&lt;a href='")</f>
        <v/>
      </c>
      <c r="V275" s="13" t="inlineStr">
        <is>
          <t>https://legislature.idaho.gov/sessioninfo/rs/</t>
        </is>
      </c>
      <c r="W275" s="17">
        <f>IF(ISBLANK(V275),"","'&gt;")</f>
        <v/>
      </c>
      <c r="X275" s="12" t="inlineStr">
        <is>
          <t>Enhancement</t>
        </is>
      </c>
      <c r="Y275" s="17">
        <f>IF(ISBLANK(X275),"","&lt;/a&gt;")</f>
        <v/>
      </c>
      <c r="Z275" s="42">
        <f>IF(ISBLANK(X275),"",IF(OR(AB275="PASSED",ISBLANK(N275)),"&lt;/b&gt;","&lt;/i&gt;"))</f>
        <v/>
      </c>
      <c r="AA275" s="43">
        <f>IF(AB275="PASSED","&lt;b&gt;","")</f>
        <v/>
      </c>
      <c r="AB275" s="45" t="inlineStr">
        <is>
          <t>INTRODUCED</t>
        </is>
      </c>
      <c r="AC275" s="43">
        <f>IF(AB275="PASSED","&lt;/b&gt;","")</f>
        <v/>
      </c>
      <c r="AD275" s="43">
        <f>IF(ISBLANK(AE275),"","&lt;b&gt;")</f>
        <v/>
      </c>
      <c r="AE275" s="51" t="inlineStr">
        <is>
          <t>03/03</t>
        </is>
      </c>
      <c r="AF275" s="42">
        <f>IF(ISBLANK(AE275),"",": ")</f>
        <v/>
      </c>
      <c r="AG275" s="42" t="inlineStr">
        <is>
          <t>JFAC Budget Setting</t>
        </is>
      </c>
      <c r="AH275" s="42">
        <f>IF(ISBLANK(AE275),"","&lt;/b&gt;")</f>
        <v/>
      </c>
      <c r="AI275" s="42" t="inlineStr">
        <is>
          <t>01/26: JFAC Budget Hearing</t>
        </is>
      </c>
      <c r="AJ275" s="42">
        <f>IF(ISBLANK(AI275),"","&lt;br&gt;"&amp;AI275)</f>
        <v/>
      </c>
      <c r="AK275" s="42" t="n"/>
      <c r="AL275" s="42" t="n"/>
      <c r="AM275" s="42" t="n"/>
      <c r="AN275" s="42">
        <f>IF(ISBLANK(AM275),"","&lt;/i&gt;")</f>
        <v/>
      </c>
      <c r="AO275" s="35">
        <f>IF(ISBLANK(AQ275),"","&lt;/b&gt;&lt;br&gt;&lt;br&gt;")</f>
        <v/>
      </c>
      <c r="AP275" s="42">
        <f>IF(ISBLANK(AQ275),"","&lt;b&gt;")</f>
        <v/>
      </c>
      <c r="AQ275" s="42" t="n"/>
      <c r="AR275" s="4" t="n"/>
      <c r="AS275" s="4">
        <f>IF(ISBLANK(AR275),""," %")</f>
        <v/>
      </c>
      <c r="AT275" s="4">
        <f t="array" ref="AT275">_xlfn.IFS(NOT(ISBLANK(AU275))," (pgs. ",NOT(ISBLANK(AS275))," (pg. ", ISBLANK(AS275), "")</f>
        <v/>
      </c>
      <c r="AU275" s="42" t="n"/>
      <c r="AV275" s="4">
        <f>IF(ISBLANK(AW275),"",", ")</f>
        <v/>
      </c>
      <c r="AW275" s="42" t="n"/>
      <c r="AX275" s="4">
        <f>IF(ISBLANK(AY275),"",",&lt;br&gt;")</f>
        <v/>
      </c>
      <c r="AY275" s="42" t="n"/>
      <c r="AZ275" s="49">
        <f>IF(ISBLANK(AU275),"",")&lt;/b&gt;")</f>
        <v/>
      </c>
      <c r="BA275" s="4">
        <f>IF(ISBLANK(BC275),"","&lt;br&gt;")</f>
        <v/>
      </c>
      <c r="BB275" s="42">
        <f t="array" ref="BB275">IF(ISBLANK(BC275),"",_xlfn.LET(
_xlpm.words,_xlfn.TEXTSPLIT(TRIM(BC275),"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75" s="50" t="n"/>
    </row>
    <row r="276">
      <c r="A276" s="20">
        <f>_xlfn.TEXTJOIN("", TRUE, F276:H276)</f>
        <v/>
      </c>
      <c r="B276" s="21">
        <f>_xlfn.TEXTJOIN("", TRUE, I276:S276)</f>
        <v/>
      </c>
      <c r="C276" s="21">
        <f>IF(ISBLANK(X276),"", _xlfn.TEXTJOIN("",TRUE,T276:Z276))</f>
        <v/>
      </c>
      <c r="D276" s="21">
        <f>IF(ISBLANK(AB276), "", _xlfn.TEXTJOIN("", TRUE, AA276:AC276))</f>
        <v/>
      </c>
      <c r="E276" s="22">
        <f>IF(AU276="NA", _xlfn.TEXTJOIN("", TRUE, AD276:AH276), _xlfn.TEXTJOIN("", TRUE, AD276:AJ276))</f>
        <v/>
      </c>
      <c r="F276" s="42">
        <f>IF(LEFT(G276,4)="FY26","&lt;b&gt;","&lt;i&gt;")</f>
        <v/>
      </c>
      <c r="G276" s="42" t="inlineStr">
        <is>
          <t>FY27 Enhancement</t>
        </is>
      </c>
      <c r="H276" s="42">
        <f>IF(LEFT(G276,4)="FY26","&lt;/b&gt;","&lt;/i&gt;")</f>
        <v/>
      </c>
      <c r="I276" s="43" t="inlineStr">
        <is>
          <t>&lt;i&gt;</t>
        </is>
      </c>
      <c r="J276" s="44" t="inlineStr">
        <is>
          <t>Public Safety</t>
        </is>
      </c>
      <c r="K276" s="44" t="inlineStr">
        <is>
          <t>&lt;/i&gt;</t>
        </is>
      </c>
      <c r="L276" s="4">
        <f>IF(ISBLANK(N276),"","&lt;br&gt;")</f>
        <v/>
      </c>
      <c r="M276" s="42">
        <f>IF(ISBLANK(R276),"&lt;b&gt;","&lt;i&gt;")</f>
        <v/>
      </c>
      <c r="N276" s="42" t="inlineStr">
        <is>
          <t>Dept. of Correction</t>
        </is>
      </c>
      <c r="O276" s="42">
        <f>IF(ISBLANK(R276),"&lt;/b&gt;","&lt;/i&gt;")</f>
        <v/>
      </c>
      <c r="P276" s="4">
        <f>IF(ISBLANK(R276),"","&lt;br&gt;")</f>
        <v/>
      </c>
      <c r="Q276" s="42">
        <f>IF(ISBLANK(R276),"","&lt;b&gt;")</f>
        <v/>
      </c>
      <c r="R276" s="42" t="inlineStr">
        <is>
          <t>Management Services</t>
        </is>
      </c>
      <c r="S276" s="42">
        <f>IF(ISBLANK(R276),"","&lt;/i&gt;")</f>
        <v/>
      </c>
      <c r="T276" s="42">
        <f>IF(ISBLANK(X276),"",IF(OR(AB276="PASSED",ISBLANK(N276)),"&lt;b&gt;","&lt;i&gt;"))</f>
        <v/>
      </c>
      <c r="U276" s="3">
        <f>IF(ISBLANK(V276),"","&lt;a href='")</f>
        <v/>
      </c>
      <c r="V276" s="13" t="inlineStr">
        <is>
          <t>https://legislature.idaho.gov/sessioninfo/rs/</t>
        </is>
      </c>
      <c r="W276" s="17">
        <f>IF(ISBLANK(V276),"","'&gt;")</f>
        <v/>
      </c>
      <c r="X276" s="12" t="inlineStr">
        <is>
          <t>Enhancement</t>
        </is>
      </c>
      <c r="Y276" s="17">
        <f>IF(ISBLANK(X276),"","&lt;/a&gt;")</f>
        <v/>
      </c>
      <c r="Z276" s="42">
        <f>IF(ISBLANK(X276),"",IF(OR(AB276="PASSED",ISBLANK(N276)),"&lt;/b&gt;","&lt;/i&gt;"))</f>
        <v/>
      </c>
      <c r="AA276" s="43">
        <f>IF(AB276="PASSED","&lt;b&gt;","")</f>
        <v/>
      </c>
      <c r="AB276" s="45" t="inlineStr">
        <is>
          <t>INTRODUCED</t>
        </is>
      </c>
      <c r="AC276" s="43">
        <f>IF(AB276="PASSED","&lt;/b&gt;","")</f>
        <v/>
      </c>
      <c r="AD276" s="43">
        <f>IF(ISBLANK(AE276),"","&lt;b&gt;")</f>
        <v/>
      </c>
      <c r="AE276" s="51" t="inlineStr">
        <is>
          <t>03/03</t>
        </is>
      </c>
      <c r="AF276" s="42">
        <f>IF(ISBLANK(AE276),"",": ")</f>
        <v/>
      </c>
      <c r="AG276" s="42" t="inlineStr">
        <is>
          <t>JFAC Budget Setting</t>
        </is>
      </c>
      <c r="AH276" s="42">
        <f>IF(ISBLANK(AE276),"","&lt;/b&gt;")</f>
        <v/>
      </c>
      <c r="AI276" s="42" t="inlineStr">
        <is>
          <t>01/26: JFAC Budget Hearing</t>
        </is>
      </c>
      <c r="AJ276" s="42">
        <f>IF(ISBLANK(AI276),"","&lt;br&gt;"&amp;AI276)</f>
        <v/>
      </c>
      <c r="AK276" s="42" t="n"/>
      <c r="AL276" s="42" t="n"/>
      <c r="AM276" s="42" t="n"/>
      <c r="AN276" s="42">
        <f>IF(ISBLANK(AM276),"","&lt;/i&gt;")</f>
        <v/>
      </c>
      <c r="AO276" s="35">
        <f>IF(ISBLANK(AQ276),"","&lt;/b&gt;&lt;br&gt;&lt;br&gt;")</f>
        <v/>
      </c>
      <c r="AP276" s="42">
        <f>IF(ISBLANK(AQ276),"","&lt;b&gt;")</f>
        <v/>
      </c>
      <c r="AQ276" s="42" t="n"/>
      <c r="AR276" s="4" t="n"/>
      <c r="AS276" s="4">
        <f>IF(ISBLANK(AR276),""," %")</f>
        <v/>
      </c>
      <c r="AT276" s="4">
        <f t="array" ref="AT276">_xlfn.IFS(NOT(ISBLANK(AU276))," (pgs. ",NOT(ISBLANK(AS276))," (pg. ", ISBLANK(AS276), "")</f>
        <v/>
      </c>
      <c r="AU276" s="42" t="n"/>
      <c r="AV276" s="4">
        <f>IF(ISBLANK(AW276),"",", ")</f>
        <v/>
      </c>
      <c r="AW276" s="42" t="n"/>
      <c r="AX276" s="4">
        <f>IF(ISBLANK(AY276),"",",&lt;br&gt;")</f>
        <v/>
      </c>
      <c r="AY276" s="42" t="n"/>
      <c r="AZ276" s="49">
        <f>IF(ISBLANK(AU276),"",")&lt;/b&gt;")</f>
        <v/>
      </c>
      <c r="BA276" s="4">
        <f>IF(ISBLANK(BC276),"","&lt;br&gt;")</f>
        <v/>
      </c>
      <c r="BB276" s="42">
        <f t="array" ref="BB276">IF(ISBLANK(BC276),"",_xlfn.LET(
_xlpm.words,_xlfn.TEXTSPLIT(TRIM(BC276),"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76" s="50" t="n"/>
    </row>
    <row r="277">
      <c r="A277" s="20">
        <f>_xlfn.TEXTJOIN("", TRUE, F277:H277)</f>
        <v/>
      </c>
      <c r="B277" s="21">
        <f>_xlfn.TEXTJOIN("", TRUE, I277:S277)</f>
        <v/>
      </c>
      <c r="C277" s="21">
        <f>IF(ISBLANK(X277),"", _xlfn.TEXTJOIN("",TRUE,T277:Z277))</f>
        <v/>
      </c>
      <c r="D277" s="21">
        <f>IF(ISBLANK(AB277), "", _xlfn.TEXTJOIN("", TRUE, AA277:AC277))</f>
        <v/>
      </c>
      <c r="E277" s="22">
        <f>IF(AU277="NA", _xlfn.TEXTJOIN("", TRUE, AD277:AH277), _xlfn.TEXTJOIN("", TRUE, AD277:AJ277))</f>
        <v/>
      </c>
      <c r="F277" s="42">
        <f>IF(LEFT(G277,4)="FY26","&lt;b&gt;","&lt;i&gt;")</f>
        <v/>
      </c>
      <c r="G277" s="42" t="inlineStr">
        <is>
          <t>FY27 Enhancement</t>
        </is>
      </c>
      <c r="H277" s="42">
        <f>IF(LEFT(G277,4)="FY26","&lt;/b&gt;","&lt;/i&gt;")</f>
        <v/>
      </c>
      <c r="I277" s="43" t="inlineStr">
        <is>
          <t>&lt;i&gt;</t>
        </is>
      </c>
      <c r="J277" s="44" t="inlineStr">
        <is>
          <t>Public Safety</t>
        </is>
      </c>
      <c r="K277" s="44" t="inlineStr">
        <is>
          <t>&lt;/i&gt;</t>
        </is>
      </c>
      <c r="L277" s="4">
        <f>IF(ISBLANK(N277),"","&lt;br&gt;")</f>
        <v/>
      </c>
      <c r="M277" s="42">
        <f>IF(ISBLANK(R277),"&lt;b&gt;","&lt;i&gt;")</f>
        <v/>
      </c>
      <c r="N277" s="42" t="inlineStr">
        <is>
          <t>Dept. of Correction</t>
        </is>
      </c>
      <c r="O277" s="42">
        <f>IF(ISBLANK(R277),"&lt;/b&gt;","&lt;/i&gt;")</f>
        <v/>
      </c>
      <c r="P277" s="4">
        <f>IF(ISBLANK(R277),"","&lt;br&gt;")</f>
        <v/>
      </c>
      <c r="Q277" s="42">
        <f>IF(ISBLANK(R277),"","&lt;b&gt;")</f>
        <v/>
      </c>
      <c r="R277" s="42" t="inlineStr">
        <is>
          <t>Medical Services</t>
        </is>
      </c>
      <c r="S277" s="42">
        <f>IF(ISBLANK(R277),"","&lt;/i&gt;")</f>
        <v/>
      </c>
      <c r="T277" s="42">
        <f>IF(ISBLANK(X277),"",IF(OR(AB277="PASSED",ISBLANK(N277)),"&lt;b&gt;","&lt;i&gt;"))</f>
        <v/>
      </c>
      <c r="U277" s="3">
        <f>IF(ISBLANK(V277),"","&lt;a href='")</f>
        <v/>
      </c>
      <c r="V277" s="13" t="inlineStr">
        <is>
          <t>https://legislature.idaho.gov/sessioninfo/rs/</t>
        </is>
      </c>
      <c r="W277" s="17">
        <f>IF(ISBLANK(V277),"","'&gt;")</f>
        <v/>
      </c>
      <c r="X277" s="12" t="inlineStr">
        <is>
          <t>Enhancement</t>
        </is>
      </c>
      <c r="Y277" s="17">
        <f>IF(ISBLANK(X277),"","&lt;/a&gt;")</f>
        <v/>
      </c>
      <c r="Z277" s="42">
        <f>IF(ISBLANK(X277),"",IF(OR(AB277="PASSED",ISBLANK(N277)),"&lt;/b&gt;","&lt;/i&gt;"))</f>
        <v/>
      </c>
      <c r="AA277" s="43">
        <f>IF(AB277="PASSED","&lt;b&gt;","")</f>
        <v/>
      </c>
      <c r="AB277" s="45" t="inlineStr">
        <is>
          <t>INTRODUCED</t>
        </is>
      </c>
      <c r="AC277" s="43">
        <f>IF(AB277="PASSED","&lt;/b&gt;","")</f>
        <v/>
      </c>
      <c r="AD277" s="43">
        <f>IF(ISBLANK(AE277),"","&lt;b&gt;")</f>
        <v/>
      </c>
      <c r="AE277" s="51" t="inlineStr">
        <is>
          <t>03/03</t>
        </is>
      </c>
      <c r="AF277" s="42">
        <f>IF(ISBLANK(AE277),"",": ")</f>
        <v/>
      </c>
      <c r="AG277" s="42" t="inlineStr">
        <is>
          <t>JFAC Budget Setting</t>
        </is>
      </c>
      <c r="AH277" s="42">
        <f>IF(ISBLANK(AE277),"","&lt;/b&gt;")</f>
        <v/>
      </c>
      <c r="AI277" s="42" t="inlineStr">
        <is>
          <t>01/26: JFAC Budget Hearing</t>
        </is>
      </c>
      <c r="AJ277" s="42">
        <f>IF(ISBLANK(AI277),"","&lt;br&gt;"&amp;AI277)</f>
        <v/>
      </c>
      <c r="AK277" s="42" t="n"/>
      <c r="AL277" s="42" t="n"/>
      <c r="AM277" s="42" t="n"/>
      <c r="AN277" s="42">
        <f>IF(ISBLANK(AM277),"","&lt;/i&gt;")</f>
        <v/>
      </c>
      <c r="AO277" s="35">
        <f>IF(ISBLANK(AQ277),"","&lt;/b&gt;&lt;br&gt;&lt;br&gt;")</f>
        <v/>
      </c>
      <c r="AP277" s="42">
        <f>IF(ISBLANK(AQ277),"","&lt;b&gt;")</f>
        <v/>
      </c>
      <c r="AQ277" s="42" t="n"/>
      <c r="AR277" s="4" t="n"/>
      <c r="AS277" s="4">
        <f>IF(ISBLANK(AR277),""," %")</f>
        <v/>
      </c>
      <c r="AT277" s="4">
        <f t="array" ref="AT277">_xlfn.IFS(NOT(ISBLANK(AU277))," (pgs. ",NOT(ISBLANK(AS277))," (pg. ", ISBLANK(AS277), "")</f>
        <v/>
      </c>
      <c r="AU277" s="42" t="n"/>
      <c r="AV277" s="4">
        <f>IF(ISBLANK(AW277),"",", ")</f>
        <v/>
      </c>
      <c r="AW277" s="42" t="n"/>
      <c r="AX277" s="4">
        <f>IF(ISBLANK(AY277),"",",&lt;br&gt;")</f>
        <v/>
      </c>
      <c r="AY277" s="42" t="n"/>
      <c r="AZ277" s="49">
        <f>IF(ISBLANK(AU277),"",")&lt;/b&gt;")</f>
        <v/>
      </c>
      <c r="BA277" s="4">
        <f>IF(ISBLANK(BC277),"","&lt;br&gt;")</f>
        <v/>
      </c>
      <c r="BB277" s="42">
        <f t="array" ref="BB277">IF(ISBLANK(BC277),"",_xlfn.LET(
_xlpm.words,_xlfn.TEXTSPLIT(TRIM(BC277),"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77" s="50" t="n"/>
    </row>
    <row r="278">
      <c r="A278" s="20">
        <f>_xlfn.TEXTJOIN("", TRUE, F278:H278)</f>
        <v/>
      </c>
      <c r="B278" s="21">
        <f>_xlfn.TEXTJOIN("", TRUE, I278:S278)</f>
        <v/>
      </c>
      <c r="C278" s="21">
        <f>IF(ISBLANK(X278),"", _xlfn.TEXTJOIN("",TRUE,T278:Z278))</f>
        <v/>
      </c>
      <c r="D278" s="21">
        <f>IF(ISBLANK(AB278), "", _xlfn.TEXTJOIN("", TRUE, AA278:AC278))</f>
        <v/>
      </c>
      <c r="E278" s="22">
        <f>IF(AU278="NA", _xlfn.TEXTJOIN("", TRUE, AD278:AH278), _xlfn.TEXTJOIN("", TRUE, AD278:AJ278))</f>
        <v/>
      </c>
      <c r="F278" s="42">
        <f>IF(LEFT(G278,4)="FY26","&lt;b&gt;","&lt;i&gt;")</f>
        <v/>
      </c>
      <c r="G278" s="42" t="inlineStr">
        <is>
          <t>FY27 Enhancement</t>
        </is>
      </c>
      <c r="H278" s="42">
        <f>IF(LEFT(G278,4)="FY26","&lt;/b&gt;","&lt;/i&gt;")</f>
        <v/>
      </c>
      <c r="I278" s="43" t="inlineStr">
        <is>
          <t>&lt;i&gt;</t>
        </is>
      </c>
      <c r="J278" s="44" t="inlineStr">
        <is>
          <t>Public Safety</t>
        </is>
      </c>
      <c r="K278" s="44" t="inlineStr">
        <is>
          <t>&lt;/i&gt;</t>
        </is>
      </c>
      <c r="L278" s="4">
        <f>IF(ISBLANK(N278),"","&lt;br&gt;")</f>
        <v/>
      </c>
      <c r="M278" s="42">
        <f>IF(ISBLANK(R278),"&lt;b&gt;","&lt;i&gt;")</f>
        <v/>
      </c>
      <c r="N278" s="42" t="inlineStr">
        <is>
          <t>Dept. of Correction</t>
        </is>
      </c>
      <c r="O278" s="42">
        <f>IF(ISBLANK(R278),"&lt;/b&gt;","&lt;/i&gt;")</f>
        <v/>
      </c>
      <c r="P278" s="4">
        <f>IF(ISBLANK(R278),"","&lt;br&gt;")</f>
        <v/>
      </c>
      <c r="Q278" s="42">
        <f>IF(ISBLANK(R278),"","&lt;b&gt;")</f>
        <v/>
      </c>
      <c r="R278" s="42" t="inlineStr">
        <is>
          <t>State Prisons</t>
        </is>
      </c>
      <c r="S278" s="42">
        <f>IF(ISBLANK(R278),"","&lt;/i&gt;")</f>
        <v/>
      </c>
      <c r="T278" s="42">
        <f>IF(ISBLANK(X278),"",IF(OR(AB278="PASSED",ISBLANK(N278)),"&lt;b&gt;","&lt;i&gt;"))</f>
        <v/>
      </c>
      <c r="U278" s="3">
        <f>IF(ISBLANK(V278),"","&lt;a href='")</f>
        <v/>
      </c>
      <c r="V278" s="13" t="inlineStr">
        <is>
          <t>https://legislature.idaho.gov/sessioninfo/rs/</t>
        </is>
      </c>
      <c r="W278" s="17">
        <f>IF(ISBLANK(V278),"","'&gt;")</f>
        <v/>
      </c>
      <c r="X278" s="12" t="inlineStr">
        <is>
          <t>Enhancement</t>
        </is>
      </c>
      <c r="Y278" s="17">
        <f>IF(ISBLANK(X278),"","&lt;/a&gt;")</f>
        <v/>
      </c>
      <c r="Z278" s="42">
        <f>IF(ISBLANK(X278),"",IF(OR(AB278="PASSED",ISBLANK(N278)),"&lt;/b&gt;","&lt;/i&gt;"))</f>
        <v/>
      </c>
      <c r="AA278" s="43">
        <f>IF(AB278="PASSED","&lt;b&gt;","")</f>
        <v/>
      </c>
      <c r="AB278" s="45" t="inlineStr">
        <is>
          <t>INTRODUCED</t>
        </is>
      </c>
      <c r="AC278" s="43">
        <f>IF(AB278="PASSED","&lt;/b&gt;","")</f>
        <v/>
      </c>
      <c r="AD278" s="43">
        <f>IF(ISBLANK(AE278),"","&lt;b&gt;")</f>
        <v/>
      </c>
      <c r="AE278" s="51" t="inlineStr">
        <is>
          <t>03/03</t>
        </is>
      </c>
      <c r="AF278" s="42">
        <f>IF(ISBLANK(AE278),"",": ")</f>
        <v/>
      </c>
      <c r="AG278" s="42" t="inlineStr">
        <is>
          <t>JFAC Budget Setting</t>
        </is>
      </c>
      <c r="AH278" s="42">
        <f>IF(ISBLANK(AE278),"","&lt;/b&gt;")</f>
        <v/>
      </c>
      <c r="AI278" s="42" t="inlineStr">
        <is>
          <t>01/26: JFAC Budget Hearing</t>
        </is>
      </c>
      <c r="AJ278" s="42">
        <f>IF(ISBLANK(AI278),"","&lt;br&gt;"&amp;AI278)</f>
        <v/>
      </c>
      <c r="AK278" s="42" t="n"/>
      <c r="AL278" s="42" t="n"/>
      <c r="AM278" s="42" t="n"/>
      <c r="AN278" s="42">
        <f>IF(ISBLANK(AM278),"","&lt;/i&gt;")</f>
        <v/>
      </c>
      <c r="AO278" s="35">
        <f>IF(ISBLANK(AQ278),"","&lt;/b&gt;&lt;br&gt;&lt;br&gt;")</f>
        <v/>
      </c>
      <c r="AP278" s="42">
        <f>IF(ISBLANK(AQ278),"","&lt;b&gt;")</f>
        <v/>
      </c>
      <c r="AQ278" s="42" t="n"/>
      <c r="AR278" s="4" t="n"/>
      <c r="AS278" s="4">
        <f>IF(ISBLANK(AR278),""," %")</f>
        <v/>
      </c>
      <c r="AT278" s="4">
        <f t="array" ref="AT278">_xlfn.IFS(NOT(ISBLANK(AU278))," (pgs. ",NOT(ISBLANK(AS278))," (pg. ", ISBLANK(AS278), "")</f>
        <v/>
      </c>
      <c r="AU278" s="42" t="n"/>
      <c r="AV278" s="4">
        <f>IF(ISBLANK(AW278),"",", ")</f>
        <v/>
      </c>
      <c r="AW278" s="42" t="n"/>
      <c r="AX278" s="4">
        <f>IF(ISBLANK(AY278),"",",&lt;br&gt;")</f>
        <v/>
      </c>
      <c r="AY278" s="42" t="n"/>
      <c r="AZ278" s="49">
        <f>IF(ISBLANK(AU278),"",")&lt;/b&gt;")</f>
        <v/>
      </c>
      <c r="BA278" s="4">
        <f>IF(ISBLANK(BC278),"","&lt;br&gt;")</f>
        <v/>
      </c>
      <c r="BB278" s="42">
        <f t="array" ref="BB278">IF(ISBLANK(BC278),"",_xlfn.LET(
_xlpm.words,_xlfn.TEXTSPLIT(TRIM(BC278),"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78" s="50" t="n"/>
    </row>
    <row r="279">
      <c r="A279" s="20">
        <f>_xlfn.TEXTJOIN("", TRUE, F279:H279)</f>
        <v/>
      </c>
      <c r="B279" s="21">
        <f>_xlfn.TEXTJOIN("", TRUE, I279:S279)</f>
        <v/>
      </c>
      <c r="C279" s="21">
        <f>IF(ISBLANK(X279),"", _xlfn.TEXTJOIN("",TRUE,T279:Z279))</f>
        <v/>
      </c>
      <c r="D279" s="21">
        <f>IF(ISBLANK(AB279), "", _xlfn.TEXTJOIN("", TRUE, AA279:AC279))</f>
        <v/>
      </c>
      <c r="E279" s="22">
        <f>IF(AU279="NA", _xlfn.TEXTJOIN("", TRUE, AD279:AH279), _xlfn.TEXTJOIN("", TRUE, AD279:AJ279))</f>
        <v/>
      </c>
      <c r="F279" s="42">
        <f>IF(LEFT(G279,4)="FY26","&lt;b&gt;","&lt;i&gt;")</f>
        <v/>
      </c>
      <c r="G279" s="42" t="inlineStr">
        <is>
          <t>FY27 Enhancement</t>
        </is>
      </c>
      <c r="H279" s="42">
        <f>IF(LEFT(G279,4)="FY26","&lt;/b&gt;","&lt;/i&gt;")</f>
        <v/>
      </c>
      <c r="I279" s="43" t="inlineStr">
        <is>
          <t>&lt;i&gt;</t>
        </is>
      </c>
      <c r="J279" s="44" t="inlineStr">
        <is>
          <t>Economic Development</t>
        </is>
      </c>
      <c r="K279" s="44" t="inlineStr">
        <is>
          <t>&lt;/i&gt;</t>
        </is>
      </c>
      <c r="L279" s="4">
        <f>IF(ISBLANK(N279),"","&lt;br&gt;")</f>
        <v/>
      </c>
      <c r="M279" s="42">
        <f>IF(ISBLANK(R279),"&lt;b&gt;","&lt;i&gt;")</f>
        <v/>
      </c>
      <c r="N279" s="42" t="inlineStr">
        <is>
          <t>Dept. of Self-Governing Agencies</t>
        </is>
      </c>
      <c r="O279" s="42">
        <f>IF(ISBLANK(R279),"&lt;/b&gt;","&lt;/i&gt;")</f>
        <v/>
      </c>
      <c r="P279" s="4">
        <f>IF(ISBLANK(R279),"","&lt;br&gt;")</f>
        <v/>
      </c>
      <c r="Q279" s="42">
        <f>IF(ISBLANK(R279),"","&lt;b&gt;")</f>
        <v/>
      </c>
      <c r="R279" s="42" t="inlineStr">
        <is>
          <t>State Lottery</t>
        </is>
      </c>
      <c r="S279" s="42">
        <f>IF(ISBLANK(R279),"","&lt;/i&gt;")</f>
        <v/>
      </c>
      <c r="T279" s="42">
        <f>IF(ISBLANK(X279),"",IF(OR(AB279="PASSED",ISBLANK(N279)),"&lt;b&gt;","&lt;i&gt;"))</f>
        <v/>
      </c>
      <c r="U279" s="3">
        <f>IF(ISBLANK(V279),"","&lt;a href='")</f>
        <v/>
      </c>
      <c r="V279" s="13" t="inlineStr">
        <is>
          <t>https://legislature.idaho.gov/sessioninfo/2026/legislation/S1381/</t>
        </is>
      </c>
      <c r="W279" s="17">
        <f>IF(ISBLANK(V279),"","'&gt;")</f>
        <v/>
      </c>
      <c r="X279" s="12" t="inlineStr">
        <is>
          <t>Senate Bill 1381</t>
        </is>
      </c>
      <c r="Y279" s="17">
        <f>IF(ISBLANK(X279),"","&lt;/a&gt;")</f>
        <v/>
      </c>
      <c r="Z279" s="42">
        <f>IF(ISBLANK(X279),"",IF(OR(AB279="PASSED",ISBLANK(N279)),"&lt;/b&gt;","&lt;/i&gt;"))</f>
        <v/>
      </c>
      <c r="AA279" s="43">
        <f>IF(AB279="PASSED","&lt;b&gt;","")</f>
        <v/>
      </c>
      <c r="AB279" s="45" t="inlineStr">
        <is>
          <t>INTRODUCED</t>
        </is>
      </c>
      <c r="AC279" s="43">
        <f>IF(AB279="PASSED","&lt;/b&gt;","")</f>
        <v/>
      </c>
      <c r="AD279" s="43">
        <f>IF(ISBLANK(AE279),"","&lt;b&gt;")</f>
        <v/>
      </c>
      <c r="AE279" s="51" t="inlineStr">
        <is>
          <t>03/02</t>
        </is>
      </c>
      <c r="AF279" s="42">
        <f>IF(ISBLANK(AE279),"",": ")</f>
        <v/>
      </c>
      <c r="AG279" s="42" t="inlineStr">
        <is>
          <t>JFAC Budget Setting</t>
        </is>
      </c>
      <c r="AH279" s="42">
        <f>IF(ISBLANK(AE279),"","&lt;/b&gt;")</f>
        <v/>
      </c>
      <c r="AI279" s="42" t="inlineStr">
        <is>
          <t>02/24: JFAC Budget Hearing</t>
        </is>
      </c>
      <c r="AJ279" s="42">
        <f>IF(ISBLANK(AI279),"","&lt;br&gt;"&amp;AI279)</f>
        <v/>
      </c>
      <c r="AK279" s="42" t="n"/>
      <c r="AL279" s="42" t="n"/>
      <c r="AM279" s="42" t="n"/>
      <c r="AN279" s="42">
        <f>IF(ISBLANK(AM279),"","&lt;/i&gt;")</f>
        <v/>
      </c>
      <c r="AO279" s="35">
        <f>IF(ISBLANK(AQ279),"","&lt;/b&gt;&lt;br&gt;&lt;br&gt;")</f>
        <v/>
      </c>
      <c r="AP279" s="42">
        <f>IF(ISBLANK(AQ279),"","&lt;b&gt;")</f>
        <v/>
      </c>
      <c r="AQ279" s="42" t="n"/>
      <c r="AR279" s="4" t="n"/>
      <c r="AS279" s="4">
        <f>IF(ISBLANK(AR279),""," %")</f>
        <v/>
      </c>
      <c r="AT279" s="4">
        <f t="array" ref="AT279">_xlfn.IFS(NOT(ISBLANK(AU279))," (pgs. ",NOT(ISBLANK(AS279))," (pg. ", ISBLANK(AS279), "")</f>
        <v/>
      </c>
      <c r="AU279" s="42" t="n"/>
      <c r="AV279" s="4">
        <f>IF(ISBLANK(AW279),"",", ")</f>
        <v/>
      </c>
      <c r="AW279" s="42" t="n"/>
      <c r="AX279" s="4">
        <f>IF(ISBLANK(AY279),"",",&lt;br&gt;")</f>
        <v/>
      </c>
      <c r="AY279" s="42" t="n"/>
      <c r="AZ279" s="49">
        <f>IF(ISBLANK(AU279),"",")&lt;/b&gt;")</f>
        <v/>
      </c>
      <c r="BA279" s="4">
        <f>IF(ISBLANK(BC279),"","&lt;br&gt;")</f>
        <v/>
      </c>
      <c r="BB279" s="42">
        <f t="array" ref="BB279">IF(ISBLANK(BC279),"",_xlfn.LET(
_xlpm.words,_xlfn.TEXTSPLIT(TRIM(BC279),"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79" s="50" t="n"/>
    </row>
    <row r="280">
      <c r="A280" s="20">
        <f>_xlfn.TEXTJOIN("", TRUE, F280:H280)</f>
        <v/>
      </c>
      <c r="B280" s="21">
        <f>_xlfn.TEXTJOIN("", TRUE, I280:S280)</f>
        <v/>
      </c>
      <c r="C280" s="21">
        <f>IF(ISBLANK(X280),"", _xlfn.TEXTJOIN("",TRUE,T280:Z280))</f>
        <v/>
      </c>
      <c r="D280" s="21">
        <f>IF(ISBLANK(AB280), "", _xlfn.TEXTJOIN("", TRUE, AA280:AC280))</f>
        <v/>
      </c>
      <c r="E280" s="22">
        <f>IF(AU280="NA", _xlfn.TEXTJOIN("", TRUE, AD280:AH280), _xlfn.TEXTJOIN("", TRUE, AD280:AJ280))</f>
        <v/>
      </c>
      <c r="F280" s="42">
        <f>IF(LEFT(G280,4)="FY26","&lt;b&gt;","&lt;i&gt;")</f>
        <v/>
      </c>
      <c r="G280" s="42" t="inlineStr">
        <is>
          <t>FY27 Enhancement</t>
        </is>
      </c>
      <c r="H280" s="42">
        <f>IF(LEFT(G280,4)="FY26","&lt;/b&gt;","&lt;/i&gt;")</f>
        <v/>
      </c>
      <c r="I280" s="43" t="inlineStr">
        <is>
          <t>&lt;i&gt;</t>
        </is>
      </c>
      <c r="J280" s="44" t="inlineStr">
        <is>
          <t>General Government</t>
        </is>
      </c>
      <c r="K280" s="44" t="inlineStr">
        <is>
          <t>&lt;/i&gt;</t>
        </is>
      </c>
      <c r="L280" s="4">
        <f>IF(ISBLANK(N280),"","&lt;br&gt;")</f>
        <v/>
      </c>
      <c r="M280" s="42">
        <f>IF(ISBLANK(R280),"&lt;b&gt;","&lt;i&gt;")</f>
        <v/>
      </c>
      <c r="N280" s="42" t="inlineStr">
        <is>
          <t>Dept. of Administration</t>
        </is>
      </c>
      <c r="O280" s="42">
        <f>IF(ISBLANK(R280),"&lt;/b&gt;","&lt;/i&gt;")</f>
        <v/>
      </c>
      <c r="P280" s="4">
        <f>IF(ISBLANK(R280),"","&lt;br&gt;")</f>
        <v/>
      </c>
      <c r="Q280" s="42">
        <f>IF(ISBLANK(R280),"","&lt;b&gt;")</f>
        <v/>
      </c>
      <c r="R280" s="42" t="inlineStr">
        <is>
          <t>Permanent Building Fund</t>
        </is>
      </c>
      <c r="S280" s="42">
        <f>IF(ISBLANK(R280),"","&lt;/i&gt;")</f>
        <v/>
      </c>
      <c r="T280" s="42">
        <f>IF(ISBLANK(X280),"",IF(OR(AB280="PASSED",ISBLANK(N280)),"&lt;b&gt;","&lt;i&gt;"))</f>
        <v/>
      </c>
      <c r="U280" s="3">
        <f>IF(ISBLANK(V280),"","&lt;a href='")</f>
        <v/>
      </c>
      <c r="V280" s="13" t="inlineStr">
        <is>
          <t>https://legislature.idaho.gov/sessioninfo/rs/</t>
        </is>
      </c>
      <c r="W280" s="17">
        <f>IF(ISBLANK(V280),"","'&gt;")</f>
        <v/>
      </c>
      <c r="X280" s="12" t="inlineStr">
        <is>
          <t>Enhancement</t>
        </is>
      </c>
      <c r="Y280" s="17">
        <f>IF(ISBLANK(X280),"","&lt;/a&gt;")</f>
        <v/>
      </c>
      <c r="Z280" s="42">
        <f>IF(ISBLANK(X280),"",IF(OR(AB280="PASSED",ISBLANK(N280)),"&lt;/b&gt;","&lt;/i&gt;"))</f>
        <v/>
      </c>
      <c r="AA280" s="43">
        <f>IF(AB280="PASSED","&lt;b&gt;","")</f>
        <v/>
      </c>
      <c r="AB280" s="45" t="inlineStr">
        <is>
          <t>INTRODUCED</t>
        </is>
      </c>
      <c r="AC280" s="43">
        <f>IF(AB280="PASSED","&lt;/b&gt;","")</f>
        <v/>
      </c>
      <c r="AD280" s="43">
        <f>IF(ISBLANK(AE280),"","&lt;b&gt;")</f>
        <v/>
      </c>
      <c r="AE280" s="51" t="inlineStr">
        <is>
          <t>03/02</t>
        </is>
      </c>
      <c r="AF280" s="42">
        <f>IF(ISBLANK(AE280),"",": ")</f>
        <v/>
      </c>
      <c r="AG280" s="42" t="inlineStr">
        <is>
          <t>JFAC Budget Setting</t>
        </is>
      </c>
      <c r="AH280" s="42">
        <f>IF(ISBLANK(AE280),"","&lt;/b&gt;")</f>
        <v/>
      </c>
      <c r="AI280" s="42" t="inlineStr">
        <is>
          <t>02/17: JFAC Budget Hearing</t>
        </is>
      </c>
      <c r="AJ280" s="42">
        <f>IF(ISBLANK(AI280),"","&lt;br&gt;"&amp;AI280)</f>
        <v/>
      </c>
      <c r="AK280" s="42" t="n"/>
      <c r="AL280" s="42" t="n"/>
      <c r="AM280" s="42" t="n"/>
      <c r="AN280" s="42">
        <f>IF(ISBLANK(AM280),"","&lt;/i&gt;")</f>
        <v/>
      </c>
      <c r="AO280" s="35">
        <f>IF(ISBLANK(AQ280),"","&lt;/b&gt;&lt;br&gt;&lt;br&gt;")</f>
        <v/>
      </c>
      <c r="AP280" s="42">
        <f>IF(ISBLANK(AQ280),"","&lt;b&gt;")</f>
        <v/>
      </c>
      <c r="AQ280" s="42" t="n"/>
      <c r="AR280" s="4" t="n"/>
      <c r="AS280" s="4">
        <f>IF(ISBLANK(AR280),""," %")</f>
        <v/>
      </c>
      <c r="AT280" s="4">
        <f t="array" ref="AT280">_xlfn.IFS(NOT(ISBLANK(AU280))," (pgs. ",NOT(ISBLANK(AS280))," (pg. ", ISBLANK(AS280), "")</f>
        <v/>
      </c>
      <c r="AU280" s="42" t="n"/>
      <c r="AV280" s="4">
        <f>IF(ISBLANK(AW280),"",", ")</f>
        <v/>
      </c>
      <c r="AW280" s="42" t="n"/>
      <c r="AX280" s="4">
        <f>IF(ISBLANK(AY280),"",",&lt;br&gt;")</f>
        <v/>
      </c>
      <c r="AY280" s="42" t="n"/>
      <c r="AZ280" s="49">
        <f>IF(ISBLANK(AU280),"",")&lt;/b&gt;")</f>
        <v/>
      </c>
      <c r="BA280" s="4">
        <f>IF(ISBLANK(BC280),"","&lt;br&gt;")</f>
        <v/>
      </c>
      <c r="BB280" s="42">
        <f t="array" ref="BB280">IF(ISBLANK(BC280),"",_xlfn.LET(
_xlpm.words,_xlfn.TEXTSPLIT(TRIM(BC280),"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80" s="50" t="n"/>
    </row>
    <row r="281">
      <c r="A281" s="20">
        <f>_xlfn.TEXTJOIN("", TRUE, F281:H281)</f>
        <v/>
      </c>
      <c r="B281" s="21">
        <f>_xlfn.TEXTJOIN("", TRUE, I281:S281)</f>
        <v/>
      </c>
      <c r="C281" s="21">
        <f>IF(ISBLANK(X281),"", _xlfn.TEXTJOIN("",TRUE,T281:Z281))</f>
        <v/>
      </c>
      <c r="D281" s="21">
        <f>IF(ISBLANK(AB281), "", _xlfn.TEXTJOIN("", TRUE, AA281:AC281))</f>
        <v/>
      </c>
      <c r="E281" s="22">
        <f>IF(AU281="NA", _xlfn.TEXTJOIN("", TRUE, AD281:AH281), _xlfn.TEXTJOIN("", TRUE, AD281:AJ281))</f>
        <v/>
      </c>
      <c r="F281" s="42">
        <f>IF(LEFT(G281,4)="FY26","&lt;b&gt;","&lt;i&gt;")</f>
        <v/>
      </c>
      <c r="G281" s="42" t="inlineStr">
        <is>
          <t>FY27 Enhancement</t>
        </is>
      </c>
      <c r="H281" s="42">
        <f>IF(LEFT(G281,4)="FY26","&lt;/b&gt;","&lt;/i&gt;")</f>
        <v/>
      </c>
      <c r="I281" s="43" t="inlineStr">
        <is>
          <t>&lt;i&gt;</t>
        </is>
      </c>
      <c r="J281" s="44" t="inlineStr">
        <is>
          <t>State Board of Education</t>
        </is>
      </c>
      <c r="K281" s="44" t="inlineStr">
        <is>
          <t>&lt;/i&gt;</t>
        </is>
      </c>
      <c r="L281" s="4">
        <f>IF(ISBLANK(N281),"","&lt;br&gt;")</f>
        <v/>
      </c>
      <c r="M281" s="42">
        <f>IF(ISBLANK(R281),"&lt;b&gt;","&lt;i&gt;")</f>
        <v/>
      </c>
      <c r="N281" s="42" t="inlineStr">
        <is>
          <t>Career Technical Education</t>
        </is>
      </c>
      <c r="O281" s="42">
        <f>IF(ISBLANK(R281),"&lt;/b&gt;","&lt;/i&gt;")</f>
        <v/>
      </c>
      <c r="P281" s="4">
        <f>IF(ISBLANK(R281),"","&lt;br&gt;")</f>
        <v/>
      </c>
      <c r="Q281" s="42">
        <f>IF(ISBLANK(R281),"","&lt;b&gt;")</f>
        <v/>
      </c>
      <c r="R281" s="42" t="n"/>
      <c r="S281" s="42">
        <f>IF(ISBLANK(R281),"","&lt;/i&gt;")</f>
        <v/>
      </c>
      <c r="T281" s="42">
        <f>IF(ISBLANK(X281),"",IF(OR(AB281="PASSED",ISBLANK(N281)),"&lt;b&gt;","&lt;i&gt;"))</f>
        <v/>
      </c>
      <c r="U281" s="3">
        <f>IF(ISBLANK(V281),"","&lt;a href='")</f>
        <v/>
      </c>
      <c r="V281" s="13" t="inlineStr">
        <is>
          <t>https://legislature.idaho.gov/sessioninfo/rs/</t>
        </is>
      </c>
      <c r="W281" s="17">
        <f>IF(ISBLANK(V281),"","'&gt;")</f>
        <v/>
      </c>
      <c r="X281" s="12" t="inlineStr">
        <is>
          <t>Enhancement</t>
        </is>
      </c>
      <c r="Y281" s="17">
        <f>IF(ISBLANK(X281),"","&lt;/a&gt;")</f>
        <v/>
      </c>
      <c r="Z281" s="42">
        <f>IF(ISBLANK(X281),"",IF(OR(AB281="PASSED",ISBLANK(N281)),"&lt;/b&gt;","&lt;/i&gt;"))</f>
        <v/>
      </c>
      <c r="AA281" s="43">
        <f>IF(AB281="PASSED","&lt;b&gt;","")</f>
        <v/>
      </c>
      <c r="AB281" s="45" t="inlineStr">
        <is>
          <t>INTRODUCED</t>
        </is>
      </c>
      <c r="AC281" s="43">
        <f>IF(AB281="PASSED","&lt;/b&gt;","")</f>
        <v/>
      </c>
      <c r="AD281" s="43">
        <f>IF(ISBLANK(AE281),"","&lt;b&gt;")</f>
        <v/>
      </c>
      <c r="AE281" s="51" t="inlineStr">
        <is>
          <t>03/02</t>
        </is>
      </c>
      <c r="AF281" s="42">
        <f>IF(ISBLANK(AE281),"",": ")</f>
        <v/>
      </c>
      <c r="AG281" s="42" t="inlineStr">
        <is>
          <t>JFAC Budget Setting</t>
        </is>
      </c>
      <c r="AH281" s="42">
        <f>IF(ISBLANK(AE281),"","&lt;/b&gt;")</f>
        <v/>
      </c>
      <c r="AI281" s="42" t="n"/>
      <c r="AJ281" s="42">
        <f>IF(ISBLANK(AI281),"","&lt;br&gt;"&amp;AI281)</f>
        <v/>
      </c>
      <c r="AK281" s="42" t="n"/>
      <c r="AL281" s="42" t="n"/>
      <c r="AM281" s="42" t="n"/>
      <c r="AN281" s="42">
        <f>IF(ISBLANK(AM281),"","&lt;/i&gt;")</f>
        <v/>
      </c>
      <c r="AO281" s="35">
        <f>IF(ISBLANK(AQ281),"","&lt;/b&gt;&lt;br&gt;&lt;br&gt;")</f>
        <v/>
      </c>
      <c r="AP281" s="42">
        <f>IF(ISBLANK(AQ281),"","&lt;b&gt;")</f>
        <v/>
      </c>
      <c r="AQ281" s="42" t="n"/>
      <c r="AR281" s="4" t="n"/>
      <c r="AS281" s="4">
        <f>IF(ISBLANK(AR281),""," %")</f>
        <v/>
      </c>
      <c r="AT281" s="4">
        <f t="array" ref="AT281">_xlfn.IFS(NOT(ISBLANK(AU281))," (pgs. ",NOT(ISBLANK(AS281))," (pg. ", ISBLANK(AS281), "")</f>
        <v/>
      </c>
      <c r="AU281" s="42" t="n"/>
      <c r="AV281" s="4">
        <f>IF(ISBLANK(AW281),"",", ")</f>
        <v/>
      </c>
      <c r="AW281" s="42" t="n"/>
      <c r="AX281" s="4">
        <f>IF(ISBLANK(AY281),"",",&lt;br&gt;")</f>
        <v/>
      </c>
      <c r="AY281" s="42" t="n"/>
      <c r="AZ281" s="49">
        <f>IF(ISBLANK(AU281),"",")&lt;/b&gt;")</f>
        <v/>
      </c>
      <c r="BA281" s="4">
        <f>IF(ISBLANK(BC281),"","&lt;br&gt;")</f>
        <v/>
      </c>
      <c r="BB281" s="42">
        <f t="array" ref="BB281">IF(ISBLANK(BC281),"",_xlfn.LET(
_xlpm.words,_xlfn.TEXTSPLIT(TRIM(BC281),"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81" s="50" t="n"/>
    </row>
    <row r="282">
      <c r="A282" s="20">
        <f>_xlfn.TEXTJOIN("", TRUE, F282:H282)</f>
        <v/>
      </c>
      <c r="B282" s="21">
        <f>_xlfn.TEXTJOIN("", TRUE, I282:S282)</f>
        <v/>
      </c>
      <c r="C282" s="21">
        <f>IF(ISBLANK(X282),"", _xlfn.TEXTJOIN("",TRUE,T282:Z282))</f>
        <v/>
      </c>
      <c r="D282" s="21">
        <f>IF(ISBLANK(AB282), "", _xlfn.TEXTJOIN("", TRUE, AA282:AC282))</f>
        <v/>
      </c>
      <c r="E282" s="22">
        <f>IF(AU282="NA", _xlfn.TEXTJOIN("", TRUE, AD282:AH282), _xlfn.TEXTJOIN("", TRUE, AD282:AJ282))</f>
        <v/>
      </c>
      <c r="F282" s="42">
        <f>IF(LEFT(G282,4)="FY26","&lt;b&gt;","&lt;i&gt;")</f>
        <v/>
      </c>
      <c r="G282" s="42" t="inlineStr">
        <is>
          <t>FY27 Enhancement</t>
        </is>
      </c>
      <c r="H282" s="42">
        <f>IF(LEFT(G282,4)="FY26","&lt;/b&gt;","&lt;/i&gt;")</f>
        <v/>
      </c>
      <c r="I282" s="43" t="inlineStr">
        <is>
          <t>&lt;i&gt;</t>
        </is>
      </c>
      <c r="J282" s="44" t="inlineStr">
        <is>
          <t>State Board of Education</t>
        </is>
      </c>
      <c r="K282" s="44" t="inlineStr">
        <is>
          <t>&lt;/i&gt;</t>
        </is>
      </c>
      <c r="L282" s="4">
        <f>IF(ISBLANK(N282),"","&lt;br&gt;")</f>
        <v/>
      </c>
      <c r="M282" s="42">
        <f>IF(ISBLANK(R282),"&lt;b&gt;","&lt;i&gt;")</f>
        <v/>
      </c>
      <c r="N282" s="42" t="inlineStr">
        <is>
          <t>College &amp; Universities</t>
        </is>
      </c>
      <c r="O282" s="42">
        <f>IF(ISBLANK(R282),"&lt;/b&gt;","&lt;/i&gt;")</f>
        <v/>
      </c>
      <c r="P282" s="4">
        <f>IF(ISBLANK(R282),"","&lt;br&gt;")</f>
        <v/>
      </c>
      <c r="Q282" s="42">
        <f>IF(ISBLANK(R282),"","&lt;b&gt;")</f>
        <v/>
      </c>
      <c r="R282" s="42" t="n"/>
      <c r="S282" s="42">
        <f>IF(ISBLANK(R282),"","&lt;/i&gt;")</f>
        <v/>
      </c>
      <c r="T282" s="42">
        <f>IF(ISBLANK(X282),"",IF(OR(AB282="PASSED",ISBLANK(N282)),"&lt;b&gt;","&lt;i&gt;"))</f>
        <v/>
      </c>
      <c r="U282" s="3">
        <f>IF(ISBLANK(V282),"","&lt;a href='")</f>
        <v/>
      </c>
      <c r="V282" s="13" t="inlineStr">
        <is>
          <t>https://legislature.idaho.gov/sessioninfo/rs/</t>
        </is>
      </c>
      <c r="W282" s="17">
        <f>IF(ISBLANK(V282),"","'&gt;")</f>
        <v/>
      </c>
      <c r="X282" s="12" t="inlineStr">
        <is>
          <t>Enhancement</t>
        </is>
      </c>
      <c r="Y282" s="17">
        <f>IF(ISBLANK(X282),"","&lt;/a&gt;")</f>
        <v/>
      </c>
      <c r="Z282" s="42">
        <f>IF(ISBLANK(X282),"",IF(OR(AB282="PASSED",ISBLANK(N282)),"&lt;/b&gt;","&lt;/i&gt;"))</f>
        <v/>
      </c>
      <c r="AA282" s="43">
        <f>IF(AB282="PASSED","&lt;b&gt;","")</f>
        <v/>
      </c>
      <c r="AB282" s="45" t="inlineStr">
        <is>
          <t>INTRODUCED</t>
        </is>
      </c>
      <c r="AC282" s="43">
        <f>IF(AB282="PASSED","&lt;/b&gt;","")</f>
        <v/>
      </c>
      <c r="AD282" s="43">
        <f>IF(ISBLANK(AE282),"","&lt;b&gt;")</f>
        <v/>
      </c>
      <c r="AE282" s="51" t="inlineStr">
        <is>
          <t>03/02</t>
        </is>
      </c>
      <c r="AF282" s="42">
        <f>IF(ISBLANK(AE282),"",": ")</f>
        <v/>
      </c>
      <c r="AG282" s="42" t="inlineStr">
        <is>
          <t>JFAC Budget Setting</t>
        </is>
      </c>
      <c r="AH282" s="42">
        <f>IF(ISBLANK(AE282),"","&lt;/b&gt;")</f>
        <v/>
      </c>
      <c r="AI282" s="42" t="n"/>
      <c r="AJ282" s="42">
        <f>IF(ISBLANK(AI282),"","&lt;br&gt;"&amp;AI282)</f>
        <v/>
      </c>
      <c r="AK282" s="42" t="n"/>
      <c r="AL282" s="42" t="n"/>
      <c r="AM282" s="42" t="n"/>
      <c r="AN282" s="42">
        <f>IF(ISBLANK(AM282),"","&lt;/i&gt;")</f>
        <v/>
      </c>
      <c r="AO282" s="35">
        <f>IF(ISBLANK(AQ282),"","&lt;/b&gt;&lt;br&gt;&lt;br&gt;")</f>
        <v/>
      </c>
      <c r="AP282" s="42">
        <f>IF(ISBLANK(AQ282),"","&lt;b&gt;")</f>
        <v/>
      </c>
      <c r="AQ282" s="42" t="n"/>
      <c r="AR282" s="4" t="n"/>
      <c r="AS282" s="4">
        <f>IF(ISBLANK(AR282),""," %")</f>
        <v/>
      </c>
      <c r="AT282" s="4">
        <f t="array" ref="AT282">_xlfn.IFS(NOT(ISBLANK(AU282))," (pgs. ",NOT(ISBLANK(AS282))," (pg. ", ISBLANK(AS282), "")</f>
        <v/>
      </c>
      <c r="AU282" s="42" t="n"/>
      <c r="AV282" s="4">
        <f>IF(ISBLANK(AW282),"",", ")</f>
        <v/>
      </c>
      <c r="AW282" s="42" t="n"/>
      <c r="AX282" s="4">
        <f>IF(ISBLANK(AY282),"",",&lt;br&gt;")</f>
        <v/>
      </c>
      <c r="AY282" s="42" t="n"/>
      <c r="AZ282" s="49">
        <f>IF(ISBLANK(AU282),"",")&lt;/b&gt;")</f>
        <v/>
      </c>
      <c r="BA282" s="4">
        <f>IF(ISBLANK(BC282),"","&lt;br&gt;")</f>
        <v/>
      </c>
      <c r="BB282" s="42">
        <f t="array" ref="BB282">IF(ISBLANK(BC282),"",_xlfn.LET(
_xlpm.words,_xlfn.TEXTSPLIT(TRIM(BC282),"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82" s="50" t="n"/>
    </row>
    <row r="283">
      <c r="A283" s="20">
        <f>_xlfn.TEXTJOIN("", TRUE, F283:H283)</f>
        <v/>
      </c>
      <c r="B283" s="21">
        <f>_xlfn.TEXTJOIN("", TRUE, I283:S283)</f>
        <v/>
      </c>
      <c r="C283" s="21">
        <f>IF(ISBLANK(X283),"", _xlfn.TEXTJOIN("",TRUE,T283:Z283))</f>
        <v/>
      </c>
      <c r="D283" s="21">
        <f>IF(ISBLANK(AB283), "", _xlfn.TEXTJOIN("", TRUE, AA283:AC283))</f>
        <v/>
      </c>
      <c r="E283" s="22">
        <f>IF(AU283="NA", _xlfn.TEXTJOIN("", TRUE, AD283:AH283), _xlfn.TEXTJOIN("", TRUE, AD283:AJ283))</f>
        <v/>
      </c>
      <c r="F283" s="42">
        <f>IF(LEFT(G283,4)="FY26","&lt;b&gt;","&lt;i&gt;")</f>
        <v/>
      </c>
      <c r="G283" s="42" t="inlineStr">
        <is>
          <t>FY27 Enhancement</t>
        </is>
      </c>
      <c r="H283" s="42">
        <f>IF(LEFT(G283,4)="FY26","&lt;/b&gt;","&lt;/i&gt;")</f>
        <v/>
      </c>
      <c r="I283" s="43" t="inlineStr">
        <is>
          <t>&lt;i&gt;</t>
        </is>
      </c>
      <c r="J283" s="44" t="inlineStr">
        <is>
          <t>State Board of Education</t>
        </is>
      </c>
      <c r="K283" s="44" t="inlineStr">
        <is>
          <t>&lt;/i&gt;</t>
        </is>
      </c>
      <c r="L283" s="4">
        <f>IF(ISBLANK(N283),"","&lt;br&gt;")</f>
        <v/>
      </c>
      <c r="M283" s="42">
        <f>IF(ISBLANK(R283),"&lt;b&gt;","&lt;i&gt;")</f>
        <v/>
      </c>
      <c r="N283" s="42" t="inlineStr">
        <is>
          <t>Community Colleges</t>
        </is>
      </c>
      <c r="O283" s="42">
        <f>IF(ISBLANK(R283),"&lt;/b&gt;","&lt;/i&gt;")</f>
        <v/>
      </c>
      <c r="P283" s="4">
        <f>IF(ISBLANK(R283),"","&lt;br&gt;")</f>
        <v/>
      </c>
      <c r="Q283" s="42">
        <f>IF(ISBLANK(R283),"","&lt;b&gt;")</f>
        <v/>
      </c>
      <c r="R283" s="42" t="n"/>
      <c r="S283" s="42">
        <f>IF(ISBLANK(R283),"","&lt;/i&gt;")</f>
        <v/>
      </c>
      <c r="T283" s="42">
        <f>IF(ISBLANK(X283),"",IF(OR(AB283="PASSED",ISBLANK(N283)),"&lt;b&gt;","&lt;i&gt;"))</f>
        <v/>
      </c>
      <c r="U283" s="3">
        <f>IF(ISBLANK(V283),"","&lt;a href='")</f>
        <v/>
      </c>
      <c r="V283" s="13" t="inlineStr">
        <is>
          <t>https://legislature.idaho.gov/sessioninfo/rs/</t>
        </is>
      </c>
      <c r="W283" s="17">
        <f>IF(ISBLANK(V283),"","'&gt;")</f>
        <v/>
      </c>
      <c r="X283" s="12" t="inlineStr">
        <is>
          <t>Enhancement</t>
        </is>
      </c>
      <c r="Y283" s="17">
        <f>IF(ISBLANK(X283),"","&lt;/a&gt;")</f>
        <v/>
      </c>
      <c r="Z283" s="42">
        <f>IF(ISBLANK(X283),"",IF(OR(AB283="PASSED",ISBLANK(N283)),"&lt;/b&gt;","&lt;/i&gt;"))</f>
        <v/>
      </c>
      <c r="AA283" s="43">
        <f>IF(AB283="PASSED","&lt;b&gt;","")</f>
        <v/>
      </c>
      <c r="AB283" s="45" t="inlineStr">
        <is>
          <t>INTRODUCED</t>
        </is>
      </c>
      <c r="AC283" s="43">
        <f>IF(AB283="PASSED","&lt;/b&gt;","")</f>
        <v/>
      </c>
      <c r="AD283" s="43">
        <f>IF(ISBLANK(AE283),"","&lt;b&gt;")</f>
        <v/>
      </c>
      <c r="AE283" s="51" t="inlineStr">
        <is>
          <t>03/02</t>
        </is>
      </c>
      <c r="AF283" s="42">
        <f>IF(ISBLANK(AE283),"",": ")</f>
        <v/>
      </c>
      <c r="AG283" s="42" t="inlineStr">
        <is>
          <t>JFAC Budget Setting</t>
        </is>
      </c>
      <c r="AH283" s="42">
        <f>IF(ISBLANK(AE283),"","&lt;/b&gt;")</f>
        <v/>
      </c>
      <c r="AI283" s="42" t="n"/>
      <c r="AJ283" s="42">
        <f>IF(ISBLANK(AI283),"","&lt;br&gt;"&amp;AI283)</f>
        <v/>
      </c>
      <c r="AK283" s="42" t="n"/>
      <c r="AL283" s="42" t="n"/>
      <c r="AM283" s="42" t="n"/>
      <c r="AN283" s="42">
        <f>IF(ISBLANK(AM283),"","&lt;/i&gt;")</f>
        <v/>
      </c>
      <c r="AO283" s="35">
        <f>IF(ISBLANK(AQ283),"","&lt;/b&gt;&lt;br&gt;&lt;br&gt;")</f>
        <v/>
      </c>
      <c r="AP283" s="42">
        <f>IF(ISBLANK(AQ283),"","&lt;b&gt;")</f>
        <v/>
      </c>
      <c r="AQ283" s="42" t="n"/>
      <c r="AR283" s="4" t="n"/>
      <c r="AS283" s="4">
        <f>IF(ISBLANK(AR283),""," %")</f>
        <v/>
      </c>
      <c r="AT283" s="4">
        <f t="array" ref="AT283">_xlfn.IFS(NOT(ISBLANK(AU283))," (pgs. ",NOT(ISBLANK(AS283))," (pg. ", ISBLANK(AS283), "")</f>
        <v/>
      </c>
      <c r="AU283" s="42" t="n"/>
      <c r="AV283" s="4">
        <f>IF(ISBLANK(AW283),"",", ")</f>
        <v/>
      </c>
      <c r="AW283" s="42" t="n"/>
      <c r="AX283" s="4">
        <f>IF(ISBLANK(AY283),"",",&lt;br&gt;")</f>
        <v/>
      </c>
      <c r="AY283" s="42" t="n"/>
      <c r="AZ283" s="49">
        <f>IF(ISBLANK(AU283),"",")&lt;/b&gt;")</f>
        <v/>
      </c>
      <c r="BA283" s="4">
        <f>IF(ISBLANK(BC283),"","&lt;br&gt;")</f>
        <v/>
      </c>
      <c r="BB283" s="42">
        <f t="array" ref="BB283">IF(ISBLANK(BC283),"",_xlfn.LET(
_xlpm.words,_xlfn.TEXTSPLIT(TRIM(BC283),"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83" s="50" t="n"/>
    </row>
    <row r="284">
      <c r="A284" s="20">
        <f>_xlfn.TEXTJOIN("", TRUE, F284:H284)</f>
        <v/>
      </c>
      <c r="B284" s="21">
        <f>_xlfn.TEXTJOIN("", TRUE, I284:S284)</f>
        <v/>
      </c>
      <c r="C284" s="21">
        <f>IF(ISBLANK(X284),"", _xlfn.TEXTJOIN("",TRUE,T284:Z284))</f>
        <v/>
      </c>
      <c r="D284" s="21">
        <f>IF(ISBLANK(AB284), "", _xlfn.TEXTJOIN("", TRUE, AA284:AC284))</f>
        <v/>
      </c>
      <c r="E284" s="22">
        <f>IF(AU284="NA", _xlfn.TEXTJOIN("", TRUE, AD284:AH284), _xlfn.TEXTJOIN("", TRUE, AD284:AJ284))</f>
        <v/>
      </c>
      <c r="F284" s="42">
        <f>IF(LEFT(G284,4)="FY26","&lt;b&gt;","&lt;i&gt;")</f>
        <v/>
      </c>
      <c r="G284" s="42" t="inlineStr">
        <is>
          <t>FY27 Enhancement</t>
        </is>
      </c>
      <c r="H284" s="42">
        <f>IF(LEFT(G284,4)="FY26","&lt;/b&gt;","&lt;/i&gt;")</f>
        <v/>
      </c>
      <c r="I284" s="43" t="inlineStr">
        <is>
          <t>&lt;i&gt;</t>
        </is>
      </c>
      <c r="J284" s="44" t="inlineStr">
        <is>
          <t>State Board of Education</t>
        </is>
      </c>
      <c r="K284" s="44" t="inlineStr">
        <is>
          <t>&lt;/i&gt;</t>
        </is>
      </c>
      <c r="L284" s="4">
        <f>IF(ISBLANK(N284),"","&lt;br&gt;")</f>
        <v/>
      </c>
      <c r="M284" s="42">
        <f>IF(ISBLANK(R284),"&lt;b&gt;","&lt;i&gt;")</f>
        <v/>
      </c>
      <c r="N284" s="42" t="inlineStr">
        <is>
          <t>Health Education Programs</t>
        </is>
      </c>
      <c r="O284" s="42">
        <f>IF(ISBLANK(R284),"&lt;/b&gt;","&lt;/i&gt;")</f>
        <v/>
      </c>
      <c r="P284" s="4">
        <f>IF(ISBLANK(R284),"","&lt;br&gt;")</f>
        <v/>
      </c>
      <c r="Q284" s="42">
        <f>IF(ISBLANK(R284),"","&lt;b&gt;")</f>
        <v/>
      </c>
      <c r="R284" s="42" t="n"/>
      <c r="S284" s="42">
        <f>IF(ISBLANK(R284),"","&lt;/i&gt;")</f>
        <v/>
      </c>
      <c r="T284" s="42">
        <f>IF(ISBLANK(X284),"",IF(OR(AB284="PASSED",ISBLANK(N284)),"&lt;b&gt;","&lt;i&gt;"))</f>
        <v/>
      </c>
      <c r="U284" s="3">
        <f>IF(ISBLANK(V284),"","&lt;a href='")</f>
        <v/>
      </c>
      <c r="V284" s="13" t="inlineStr">
        <is>
          <t>https://legislature.idaho.gov/sessioninfo/rs/</t>
        </is>
      </c>
      <c r="W284" s="17">
        <f>IF(ISBLANK(V284),"","'&gt;")</f>
        <v/>
      </c>
      <c r="X284" s="12" t="inlineStr">
        <is>
          <t>Enhancement</t>
        </is>
      </c>
      <c r="Y284" s="17">
        <f>IF(ISBLANK(X284),"","&lt;/a&gt;")</f>
        <v/>
      </c>
      <c r="Z284" s="42">
        <f>IF(ISBLANK(X284),"",IF(OR(AB284="PASSED",ISBLANK(N284)),"&lt;/b&gt;","&lt;/i&gt;"))</f>
        <v/>
      </c>
      <c r="AA284" s="43">
        <f>IF(AB284="PASSED","&lt;b&gt;","")</f>
        <v/>
      </c>
      <c r="AB284" s="45" t="inlineStr">
        <is>
          <t>INTRODUCED</t>
        </is>
      </c>
      <c r="AC284" s="43">
        <f>IF(AB284="PASSED","&lt;/b&gt;","")</f>
        <v/>
      </c>
      <c r="AD284" s="43">
        <f>IF(ISBLANK(AE284),"","&lt;b&gt;")</f>
        <v/>
      </c>
      <c r="AE284" s="51" t="inlineStr">
        <is>
          <t>03/02</t>
        </is>
      </c>
      <c r="AF284" s="42">
        <f>IF(ISBLANK(AE284),"",": ")</f>
        <v/>
      </c>
      <c r="AG284" s="42" t="inlineStr">
        <is>
          <t>JFAC Budget Setting</t>
        </is>
      </c>
      <c r="AH284" s="42">
        <f>IF(ISBLANK(AE284),"","&lt;/b&gt;")</f>
        <v/>
      </c>
      <c r="AI284" s="42" t="inlineStr">
        <is>
          <t>01/20: JFAC Budget Hearing</t>
        </is>
      </c>
      <c r="AJ284" s="42">
        <f>IF(ISBLANK(AI284),"","&lt;br&gt;"&amp;AI284)</f>
        <v/>
      </c>
      <c r="AK284" s="42" t="n"/>
      <c r="AL284" s="42" t="n"/>
      <c r="AM284" s="42" t="n"/>
      <c r="AN284" s="42">
        <f>IF(ISBLANK(AM284),"","&lt;/i&gt;")</f>
        <v/>
      </c>
      <c r="AO284" s="35">
        <f>IF(ISBLANK(AQ284),"","&lt;/b&gt;&lt;br&gt;&lt;br&gt;")</f>
        <v/>
      </c>
      <c r="AP284" s="42">
        <f>IF(ISBLANK(AQ284),"","&lt;b&gt;")</f>
        <v/>
      </c>
      <c r="AQ284" s="42" t="n"/>
      <c r="AR284" s="4" t="n"/>
      <c r="AS284" s="4">
        <f>IF(ISBLANK(AR284),""," %")</f>
        <v/>
      </c>
      <c r="AT284" s="4">
        <f t="array" ref="AT284">_xlfn.IFS(NOT(ISBLANK(AU284))," (pgs. ",NOT(ISBLANK(AS284))," (pg. ", ISBLANK(AS284), "")</f>
        <v/>
      </c>
      <c r="AU284" s="42" t="n"/>
      <c r="AV284" s="4">
        <f>IF(ISBLANK(AW284),"",", ")</f>
        <v/>
      </c>
      <c r="AW284" s="42" t="n"/>
      <c r="AX284" s="4">
        <f>IF(ISBLANK(AY284),"",",&lt;br&gt;")</f>
        <v/>
      </c>
      <c r="AY284" s="42" t="n"/>
      <c r="AZ284" s="49">
        <f>IF(ISBLANK(AU284),"",")&lt;/b&gt;")</f>
        <v/>
      </c>
      <c r="BA284" s="4">
        <f>IF(ISBLANK(BC284),"","&lt;br&gt;")</f>
        <v/>
      </c>
      <c r="BB284" s="42">
        <f t="array" ref="BB284">IF(ISBLANK(BC284),"",_xlfn.LET(
_xlpm.words,_xlfn.TEXTSPLIT(TRIM(BC284),"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84" s="50" t="n"/>
    </row>
    <row r="285">
      <c r="A285" s="20">
        <f>_xlfn.TEXTJOIN("", TRUE, F285:H285)</f>
        <v/>
      </c>
      <c r="B285" s="21">
        <f>_xlfn.TEXTJOIN("", TRUE, I285:S285)</f>
        <v/>
      </c>
      <c r="C285" s="21">
        <f>IF(ISBLANK(X285),"", _xlfn.TEXTJOIN("",TRUE,T285:Z285))</f>
        <v/>
      </c>
      <c r="D285" s="21">
        <f>IF(ISBLANK(AB285), "", _xlfn.TEXTJOIN("", TRUE, AA285:AC285))</f>
        <v/>
      </c>
      <c r="E285" s="22">
        <f>IF(AU285="NA", _xlfn.TEXTJOIN("", TRUE, AD285:AH285), _xlfn.TEXTJOIN("", TRUE, AD285:AJ285))</f>
        <v/>
      </c>
      <c r="F285" s="42">
        <f>IF(LEFT(G285,4)="FY26","&lt;b&gt;","&lt;i&gt;")</f>
        <v/>
      </c>
      <c r="G285" s="42" t="inlineStr">
        <is>
          <t>FY27 Enhancement</t>
        </is>
      </c>
      <c r="H285" s="42">
        <f>IF(LEFT(G285,4)="FY26","&lt;/b&gt;","&lt;/i&gt;")</f>
        <v/>
      </c>
      <c r="I285" s="43" t="inlineStr">
        <is>
          <t>&lt;i&gt;</t>
        </is>
      </c>
      <c r="J285" s="44" t="inlineStr">
        <is>
          <t>State Board of Education</t>
        </is>
      </c>
      <c r="K285" s="44" t="inlineStr">
        <is>
          <t>&lt;/i&gt;</t>
        </is>
      </c>
      <c r="L285" s="4">
        <f>IF(ISBLANK(N285),"","&lt;br&gt;")</f>
        <v/>
      </c>
      <c r="M285" s="42">
        <f>IF(ISBLANK(R285),"&lt;b&gt;","&lt;i&gt;")</f>
        <v/>
      </c>
      <c r="N285" s="42" t="inlineStr">
        <is>
          <t>Office of the State Board of Education</t>
        </is>
      </c>
      <c r="O285" s="42">
        <f>IF(ISBLANK(R285),"&lt;/b&gt;","&lt;/i&gt;")</f>
        <v/>
      </c>
      <c r="P285" s="4">
        <f>IF(ISBLANK(R285),"","&lt;br&gt;")</f>
        <v/>
      </c>
      <c r="Q285" s="42">
        <f>IF(ISBLANK(R285),"","&lt;b&gt;")</f>
        <v/>
      </c>
      <c r="R285" s="42" t="n"/>
      <c r="S285" s="42">
        <f>IF(ISBLANK(R285),"","&lt;/i&gt;")</f>
        <v/>
      </c>
      <c r="T285" s="42">
        <f>IF(ISBLANK(X285),"",IF(OR(AB285="PASSED",ISBLANK(N285)),"&lt;b&gt;","&lt;i&gt;"))</f>
        <v/>
      </c>
      <c r="U285" s="3">
        <f>IF(ISBLANK(V285),"","&lt;a href='")</f>
        <v/>
      </c>
      <c r="V285" s="13" t="inlineStr">
        <is>
          <t>https://legislature.idaho.gov/sessioninfo/rs/</t>
        </is>
      </c>
      <c r="W285" s="17">
        <f>IF(ISBLANK(V285),"","'&gt;")</f>
        <v/>
      </c>
      <c r="X285" s="12" t="inlineStr">
        <is>
          <t>Enhancement</t>
        </is>
      </c>
      <c r="Y285" s="17">
        <f>IF(ISBLANK(X285),"","&lt;/a&gt;")</f>
        <v/>
      </c>
      <c r="Z285" s="42">
        <f>IF(ISBLANK(X285),"",IF(OR(AB285="PASSED",ISBLANK(N285)),"&lt;/b&gt;","&lt;/i&gt;"))</f>
        <v/>
      </c>
      <c r="AA285" s="43">
        <f>IF(AB285="PASSED","&lt;b&gt;","")</f>
        <v/>
      </c>
      <c r="AB285" s="45" t="inlineStr">
        <is>
          <t>INTRODUCED</t>
        </is>
      </c>
      <c r="AC285" s="43">
        <f>IF(AB285="PASSED","&lt;/b&gt;","")</f>
        <v/>
      </c>
      <c r="AD285" s="43">
        <f>IF(ISBLANK(AE285),"","&lt;b&gt;")</f>
        <v/>
      </c>
      <c r="AE285" s="51" t="inlineStr">
        <is>
          <t>03/02</t>
        </is>
      </c>
      <c r="AF285" s="42">
        <f>IF(ISBLANK(AE285),"",": ")</f>
        <v/>
      </c>
      <c r="AG285" s="42" t="inlineStr">
        <is>
          <t>JFAC Budget Setting</t>
        </is>
      </c>
      <c r="AH285" s="42">
        <f>IF(ISBLANK(AE285),"","&lt;/b&gt;")</f>
        <v/>
      </c>
      <c r="AI285" s="42" t="inlineStr">
        <is>
          <t>01/20: JFAC Budget Hearing</t>
        </is>
      </c>
      <c r="AJ285" s="42">
        <f>IF(ISBLANK(AI285),"","&lt;br&gt;"&amp;AI285)</f>
        <v/>
      </c>
      <c r="AK285" s="42" t="n"/>
      <c r="AL285" s="42" t="n"/>
      <c r="AM285" s="42" t="n"/>
      <c r="AN285" s="42">
        <f>IF(ISBLANK(AM285),"","&lt;/i&gt;")</f>
        <v/>
      </c>
      <c r="AO285" s="35">
        <f>IF(ISBLANK(AQ285),"","&lt;/b&gt;&lt;br&gt;&lt;br&gt;")</f>
        <v/>
      </c>
      <c r="AP285" s="42">
        <f>IF(ISBLANK(AQ285),"","&lt;b&gt;")</f>
        <v/>
      </c>
      <c r="AQ285" s="42" t="n"/>
      <c r="AR285" s="4" t="n"/>
      <c r="AS285" s="4">
        <f>IF(ISBLANK(AR285),""," %")</f>
        <v/>
      </c>
      <c r="AT285" s="4">
        <f t="array" ref="AT285">_xlfn.IFS(NOT(ISBLANK(AU285))," (pgs. ",NOT(ISBLANK(AS285))," (pg. ", ISBLANK(AS285), "")</f>
        <v/>
      </c>
      <c r="AU285" s="42" t="n"/>
      <c r="AV285" s="4">
        <f>IF(ISBLANK(AW285),"",", ")</f>
        <v/>
      </c>
      <c r="AW285" s="42" t="n"/>
      <c r="AX285" s="4">
        <f>IF(ISBLANK(AY285),"",",&lt;br&gt;")</f>
        <v/>
      </c>
      <c r="AY285" s="42" t="n"/>
      <c r="AZ285" s="49">
        <f>IF(ISBLANK(AU285),"",")&lt;/b&gt;")</f>
        <v/>
      </c>
      <c r="BA285" s="4">
        <f>IF(ISBLANK(BC285),"","&lt;br&gt;")</f>
        <v/>
      </c>
      <c r="BB285" s="42">
        <f t="array" ref="BB285">IF(ISBLANK(BC285),"",_xlfn.LET(
_xlpm.words,_xlfn.TEXTSPLIT(TRIM(BC285),"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85" s="50" t="n"/>
    </row>
    <row r="286">
      <c r="A286" s="20">
        <f>_xlfn.TEXTJOIN("", TRUE, F286:H286)</f>
        <v/>
      </c>
      <c r="B286" s="21">
        <f>_xlfn.TEXTJOIN("", TRUE, I286:S286)</f>
        <v/>
      </c>
      <c r="C286" s="21">
        <f>IF(ISBLANK(X286),"", _xlfn.TEXTJOIN("",TRUE,T286:Z286))</f>
        <v/>
      </c>
      <c r="D286" s="21">
        <f>IF(ISBLANK(AB286), "", _xlfn.TEXTJOIN("", TRUE, AA286:AC286))</f>
        <v/>
      </c>
      <c r="E286" s="22">
        <f>IF(AU286="NA", _xlfn.TEXTJOIN("", TRUE, AD286:AH286), _xlfn.TEXTJOIN("", TRUE, AD286:AJ286))</f>
        <v/>
      </c>
      <c r="F286" s="42">
        <f>IF(LEFT(G286,4)="FY26","&lt;b&gt;","&lt;i&gt;")</f>
        <v/>
      </c>
      <c r="G286" s="42" t="inlineStr">
        <is>
          <t>FY27 Enhancement</t>
        </is>
      </c>
      <c r="H286" s="42">
        <f>IF(LEFT(G286,4)="FY26","&lt;/b&gt;","&lt;/i&gt;")</f>
        <v/>
      </c>
      <c r="I286" s="43" t="inlineStr">
        <is>
          <t>&lt;i&gt;</t>
        </is>
      </c>
      <c r="J286" s="44" t="inlineStr">
        <is>
          <t>Economic Development</t>
        </is>
      </c>
      <c r="K286" s="44" t="inlineStr">
        <is>
          <t>&lt;/i&gt;</t>
        </is>
      </c>
      <c r="L286" s="4">
        <f>IF(ISBLANK(N286),"","&lt;br&gt;")</f>
        <v/>
      </c>
      <c r="M286" s="42">
        <f>IF(ISBLANK(R286),"&lt;b&gt;","&lt;i&gt;")</f>
        <v/>
      </c>
      <c r="N286" s="42" t="inlineStr">
        <is>
          <t>Industrial Comm.</t>
        </is>
      </c>
      <c r="O286" s="42">
        <f>IF(ISBLANK(R286),"&lt;/b&gt;","&lt;/i&gt;")</f>
        <v/>
      </c>
      <c r="P286" s="4">
        <f>IF(ISBLANK(R286),"","&lt;br&gt;")</f>
        <v/>
      </c>
      <c r="Q286" s="42">
        <f>IF(ISBLANK(R286),"","&lt;b&gt;")</f>
        <v/>
      </c>
      <c r="R286" s="42" t="n"/>
      <c r="S286" s="42">
        <f>IF(ISBLANK(R286),"","&lt;/i&gt;")</f>
        <v/>
      </c>
      <c r="T286" s="42">
        <f>IF(ISBLANK(X286),"",IF(OR(AB286="PASSED",ISBLANK(N286)),"&lt;b&gt;","&lt;i&gt;"))</f>
        <v/>
      </c>
      <c r="U286" s="3">
        <f>IF(ISBLANK(V286),"","&lt;a href='")</f>
        <v/>
      </c>
      <c r="V286" s="13" t="inlineStr">
        <is>
          <t>https://legislature.idaho.gov/sessioninfo/2026/legislation/S1385/</t>
        </is>
      </c>
      <c r="W286" s="17">
        <f>IF(ISBLANK(V286),"","'&gt;")</f>
        <v/>
      </c>
      <c r="X286" s="12" t="inlineStr">
        <is>
          <t>Senate Bill 1385</t>
        </is>
      </c>
      <c r="Y286" s="17">
        <f>IF(ISBLANK(X286),"","&lt;/a&gt;")</f>
        <v/>
      </c>
      <c r="Z286" s="42">
        <f>IF(ISBLANK(X286),"",IF(OR(AB286="PASSED",ISBLANK(N286)),"&lt;/b&gt;","&lt;/i&gt;"))</f>
        <v/>
      </c>
      <c r="AA286" s="43">
        <f>IF(AB286="PASSED","&lt;b&gt;","")</f>
        <v/>
      </c>
      <c r="AB286" s="45" t="inlineStr">
        <is>
          <t>INTRODUCED</t>
        </is>
      </c>
      <c r="AC286" s="43">
        <f>IF(AB286="PASSED","&lt;/b&gt;","")</f>
        <v/>
      </c>
      <c r="AD286" s="43">
        <f>IF(ISBLANK(AE286),"","&lt;b&gt;")</f>
        <v/>
      </c>
      <c r="AE286" s="51" t="inlineStr">
        <is>
          <t>02/27</t>
        </is>
      </c>
      <c r="AF286" s="42">
        <f>IF(ISBLANK(AE286),"",": ")</f>
        <v/>
      </c>
      <c r="AG286" s="42" t="inlineStr">
        <is>
          <t>JFAC Budget Setting</t>
        </is>
      </c>
      <c r="AH286" s="42">
        <f>IF(ISBLANK(AE286),"","&lt;/b&gt;")</f>
        <v/>
      </c>
      <c r="AI286" s="42" t="inlineStr">
        <is>
          <t>02/19: JFAC Budget Hearing</t>
        </is>
      </c>
      <c r="AJ286" s="42">
        <f>IF(ISBLANK(AI286),"","&lt;br&gt;"&amp;AI286)</f>
        <v/>
      </c>
      <c r="AK286" s="42" t="n"/>
      <c r="AL286" s="42" t="n"/>
      <c r="AM286" s="42" t="n"/>
      <c r="AN286" s="42">
        <f>IF(ISBLANK(AM286),"","&lt;/i&gt;")</f>
        <v/>
      </c>
      <c r="AO286" s="35">
        <f>IF(ISBLANK(AQ286),"","&lt;/b&gt;&lt;br&gt;&lt;br&gt;")</f>
        <v/>
      </c>
      <c r="AP286" s="42">
        <f>IF(ISBLANK(AQ286),"","&lt;b&gt;")</f>
        <v/>
      </c>
      <c r="AQ286" s="42" t="n"/>
      <c r="AR286" s="4" t="n"/>
      <c r="AS286" s="4">
        <f>IF(ISBLANK(AR286),""," %")</f>
        <v/>
      </c>
      <c r="AT286" s="4">
        <f t="array" ref="AT286">_xlfn.IFS(NOT(ISBLANK(AU286))," (pgs. ",NOT(ISBLANK(AS286))," (pg. ", ISBLANK(AS286), "")</f>
        <v/>
      </c>
      <c r="AU286" s="42" t="n"/>
      <c r="AV286" s="4">
        <f>IF(ISBLANK(AW286),"",", ")</f>
        <v/>
      </c>
      <c r="AW286" s="42" t="n"/>
      <c r="AX286" s="4">
        <f>IF(ISBLANK(AY286),"",",&lt;br&gt;")</f>
        <v/>
      </c>
      <c r="AY286" s="42" t="n"/>
      <c r="AZ286" s="49">
        <f>IF(ISBLANK(AU286),"",")&lt;/b&gt;")</f>
        <v/>
      </c>
      <c r="BA286" s="4">
        <f>IF(ISBLANK(BC286),"","&lt;br&gt;")</f>
        <v/>
      </c>
      <c r="BB286" s="42">
        <f t="array" ref="BB286">IF(ISBLANK(BC286),"",_xlfn.LET(
_xlpm.words,_xlfn.TEXTSPLIT(TRIM(BC286),"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86" s="50" t="n"/>
    </row>
    <row r="287">
      <c r="A287" s="20">
        <f>_xlfn.TEXTJOIN("", TRUE, F287:H287)</f>
        <v/>
      </c>
      <c r="B287" s="21">
        <f>_xlfn.TEXTJOIN("", TRUE, I287:S287)</f>
        <v/>
      </c>
      <c r="C287" s="21">
        <f>IF(ISBLANK(X287),"", _xlfn.TEXTJOIN("",TRUE,T287:Z287))</f>
        <v/>
      </c>
      <c r="D287" s="21">
        <f>IF(ISBLANK(AB287), "", _xlfn.TEXTJOIN("", TRUE, AA287:AC287))</f>
        <v/>
      </c>
      <c r="E287" s="22">
        <f>IF(AU287="NA", _xlfn.TEXTJOIN("", TRUE, AD287:AH287), _xlfn.TEXTJOIN("", TRUE, AD287:AJ287))</f>
        <v/>
      </c>
      <c r="F287" s="42">
        <f>IF(LEFT(G287,4)="FY26","&lt;b&gt;","&lt;i&gt;")</f>
        <v/>
      </c>
      <c r="G287" s="42" t="inlineStr">
        <is>
          <t>FY27 Enhancement</t>
        </is>
      </c>
      <c r="H287" s="42">
        <f>IF(LEFT(G287,4)="FY26","&lt;/b&gt;","&lt;/i&gt;")</f>
        <v/>
      </c>
      <c r="I287" s="43" t="inlineStr">
        <is>
          <t>&lt;i&gt;</t>
        </is>
      </c>
      <c r="J287" s="44" t="inlineStr">
        <is>
          <t>Economic Development</t>
        </is>
      </c>
      <c r="K287" s="44" t="inlineStr">
        <is>
          <t>&lt;/i&gt;</t>
        </is>
      </c>
      <c r="L287" s="4">
        <f>IF(ISBLANK(N287),"","&lt;br&gt;")</f>
        <v/>
      </c>
      <c r="M287" s="42">
        <f>IF(ISBLANK(R287),"&lt;b&gt;","&lt;i&gt;")</f>
        <v/>
      </c>
      <c r="N287" s="42" t="inlineStr">
        <is>
          <t>Public Utilities Comm.</t>
        </is>
      </c>
      <c r="O287" s="42">
        <f>IF(ISBLANK(R287),"&lt;/b&gt;","&lt;/i&gt;")</f>
        <v/>
      </c>
      <c r="P287" s="4">
        <f>IF(ISBLANK(R287),"","&lt;br&gt;")</f>
        <v/>
      </c>
      <c r="Q287" s="42">
        <f>IF(ISBLANK(R287),"","&lt;b&gt;")</f>
        <v/>
      </c>
      <c r="R287" s="42" t="n"/>
      <c r="S287" s="42">
        <f>IF(ISBLANK(R287),"","&lt;/i&gt;")</f>
        <v/>
      </c>
      <c r="T287" s="42">
        <f>IF(ISBLANK(X287),"",IF(OR(AB287="PASSED",ISBLANK(N287)),"&lt;b&gt;","&lt;i&gt;"))</f>
        <v/>
      </c>
      <c r="U287" s="3">
        <f>IF(ISBLANK(V287),"","&lt;a href='")</f>
        <v/>
      </c>
      <c r="V287" s="13" t="inlineStr">
        <is>
          <t>https://legislature.idaho.gov/sessioninfo/2026/legislation/S1384/</t>
        </is>
      </c>
      <c r="W287" s="17">
        <f>IF(ISBLANK(V287),"","'&gt;")</f>
        <v/>
      </c>
      <c r="X287" s="12" t="inlineStr">
        <is>
          <t>Senate Bill 1384</t>
        </is>
      </c>
      <c r="Y287" s="17">
        <f>IF(ISBLANK(X287),"","&lt;/a&gt;")</f>
        <v/>
      </c>
      <c r="Z287" s="42">
        <f>IF(ISBLANK(X287),"",IF(OR(AB287="PASSED",ISBLANK(N287)),"&lt;/b&gt;","&lt;/i&gt;"))</f>
        <v/>
      </c>
      <c r="AA287" s="43">
        <f>IF(AB287="PASSED","&lt;b&gt;","")</f>
        <v/>
      </c>
      <c r="AB287" s="45" t="inlineStr">
        <is>
          <t>INTRODUCED</t>
        </is>
      </c>
      <c r="AC287" s="43">
        <f>IF(AB287="PASSED","&lt;/b&gt;","")</f>
        <v/>
      </c>
      <c r="AD287" s="43">
        <f>IF(ISBLANK(AE287),"","&lt;b&gt;")</f>
        <v/>
      </c>
      <c r="AE287" s="51" t="inlineStr">
        <is>
          <t>02/27</t>
        </is>
      </c>
      <c r="AF287" s="42">
        <f>IF(ISBLANK(AE287),"",": ")</f>
        <v/>
      </c>
      <c r="AG287" s="42" t="inlineStr">
        <is>
          <t>JFAC Budget Setting</t>
        </is>
      </c>
      <c r="AH287" s="42">
        <f>IF(ISBLANK(AE287),"","&lt;/b&gt;")</f>
        <v/>
      </c>
      <c r="AI287" s="42" t="inlineStr">
        <is>
          <t>02/19: JFAC Budget Hearing</t>
        </is>
      </c>
      <c r="AJ287" s="42">
        <f>IF(ISBLANK(AI287),"","&lt;br&gt;"&amp;AI287)</f>
        <v/>
      </c>
      <c r="AK287" s="42" t="n"/>
      <c r="AL287" s="42" t="n"/>
      <c r="AM287" s="42" t="n"/>
      <c r="AN287" s="42">
        <f>IF(ISBLANK(AM287),"","&lt;/i&gt;")</f>
        <v/>
      </c>
      <c r="AO287" s="35">
        <f>IF(ISBLANK(AQ287),"","&lt;/b&gt;&lt;br&gt;&lt;br&gt;")</f>
        <v/>
      </c>
      <c r="AP287" s="42">
        <f>IF(ISBLANK(AQ287),"","&lt;b&gt;")</f>
        <v/>
      </c>
      <c r="AQ287" s="42" t="n"/>
      <c r="AR287" s="4" t="n"/>
      <c r="AS287" s="4">
        <f>IF(ISBLANK(AR287),""," %")</f>
        <v/>
      </c>
      <c r="AT287" s="4">
        <f t="array" ref="AT287">_xlfn.IFS(NOT(ISBLANK(AU287))," (pgs. ",NOT(ISBLANK(AS287))," (pg. ", ISBLANK(AS287), "")</f>
        <v/>
      </c>
      <c r="AU287" s="42" t="n"/>
      <c r="AV287" s="4">
        <f>IF(ISBLANK(AW287),"",", ")</f>
        <v/>
      </c>
      <c r="AW287" s="42" t="n"/>
      <c r="AX287" s="4">
        <f>IF(ISBLANK(AY287),"",",&lt;br&gt;")</f>
        <v/>
      </c>
      <c r="AY287" s="42" t="n"/>
      <c r="AZ287" s="49">
        <f>IF(ISBLANK(AU287),"",")&lt;/b&gt;")</f>
        <v/>
      </c>
      <c r="BA287" s="4">
        <f>IF(ISBLANK(BC287),"","&lt;br&gt;")</f>
        <v/>
      </c>
      <c r="BB287" s="42">
        <f t="array" ref="BB287">IF(ISBLANK(BC287),"",_xlfn.LET(
_xlpm.words,_xlfn.TEXTSPLIT(TRIM(BC287),"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87" s="50" t="n"/>
    </row>
    <row r="288">
      <c r="A288" s="20">
        <f>_xlfn.TEXTJOIN("", TRUE, F288:H288)</f>
        <v/>
      </c>
      <c r="B288" s="21">
        <f>_xlfn.TEXTJOIN("", TRUE, I288:S288)</f>
        <v/>
      </c>
      <c r="C288" s="21">
        <f>IF(ISBLANK(X288),"", _xlfn.TEXTJOIN("",TRUE,T288:Z288))</f>
        <v/>
      </c>
      <c r="D288" s="21">
        <f>IF(ISBLANK(AB288), "", _xlfn.TEXTJOIN("", TRUE, AA288:AC288))</f>
        <v/>
      </c>
      <c r="E288" s="22">
        <f>IF(AU288="NA", _xlfn.TEXTJOIN("", TRUE, AD288:AH288), _xlfn.TEXTJOIN("", TRUE, AD288:AJ288))</f>
        <v/>
      </c>
      <c r="F288" s="42">
        <f>IF(LEFT(G288,4)="FY26","&lt;b&gt;","&lt;i&gt;")</f>
        <v/>
      </c>
      <c r="G288" s="42" t="inlineStr">
        <is>
          <t>FY27 Enhancement</t>
        </is>
      </c>
      <c r="H288" s="42">
        <f>IF(LEFT(G288,4)="FY26","&lt;/b&gt;","&lt;/i&gt;")</f>
        <v/>
      </c>
      <c r="I288" s="43" t="inlineStr">
        <is>
          <t>&lt;i&gt;</t>
        </is>
      </c>
      <c r="J288" s="44" t="inlineStr">
        <is>
          <t>General Government</t>
        </is>
      </c>
      <c r="K288" s="44" t="inlineStr">
        <is>
          <t>&lt;/i&gt;</t>
        </is>
      </c>
      <c r="L288" s="4">
        <f>IF(ISBLANK(N288),"","&lt;br&gt;")</f>
        <v/>
      </c>
      <c r="M288" s="42">
        <f>IF(ISBLANK(R288),"&lt;b&gt;","&lt;i&gt;")</f>
        <v/>
      </c>
      <c r="N288" s="42" t="inlineStr">
        <is>
          <t>Dept. of Revenue &amp; Taxation</t>
        </is>
      </c>
      <c r="O288" s="42">
        <f>IF(ISBLANK(R288),"&lt;/b&gt;","&lt;/i&gt;")</f>
        <v/>
      </c>
      <c r="P288" s="4">
        <f>IF(ISBLANK(R288),"","&lt;br&gt;")</f>
        <v/>
      </c>
      <c r="Q288" s="42">
        <f>IF(ISBLANK(R288),"","&lt;b&gt;")</f>
        <v/>
      </c>
      <c r="R288" s="42" t="inlineStr">
        <is>
          <t>State Tax Comm.</t>
        </is>
      </c>
      <c r="S288" s="42">
        <f>IF(ISBLANK(R288),"","&lt;/i&gt;")</f>
        <v/>
      </c>
      <c r="T288" s="42">
        <f>IF(ISBLANK(X288),"",IF(OR(AB288="PASSED",ISBLANK(N288)),"&lt;b&gt;","&lt;i&gt;"))</f>
        <v/>
      </c>
      <c r="U288" s="3">
        <f>IF(ISBLANK(V288),"","&lt;a href='")</f>
        <v/>
      </c>
      <c r="V288" s="13" t="inlineStr">
        <is>
          <t>https://legislature.idaho.gov/sessioninfo/rs/</t>
        </is>
      </c>
      <c r="W288" s="17">
        <f>IF(ISBLANK(V288),"","'&gt;")</f>
        <v/>
      </c>
      <c r="X288" s="12" t="inlineStr">
        <is>
          <t>Enhancement</t>
        </is>
      </c>
      <c r="Y288" s="17">
        <f>IF(ISBLANK(X288),"","&lt;/a&gt;")</f>
        <v/>
      </c>
      <c r="Z288" s="42">
        <f>IF(ISBLANK(X288),"",IF(OR(AB288="PASSED",ISBLANK(N288)),"&lt;/b&gt;","&lt;/i&gt;"))</f>
        <v/>
      </c>
      <c r="AA288" s="43">
        <f>IF(AB288="PASSED","&lt;b&gt;","")</f>
        <v/>
      </c>
      <c r="AB288" s="45" t="inlineStr">
        <is>
          <t>INTRODUCED</t>
        </is>
      </c>
      <c r="AC288" s="43">
        <f>IF(AB288="PASSED","&lt;/b&gt;","")</f>
        <v/>
      </c>
      <c r="AD288" s="43">
        <f>IF(ISBLANK(AE288),"","&lt;b&gt;")</f>
        <v/>
      </c>
      <c r="AE288" s="51" t="inlineStr">
        <is>
          <t>02/27</t>
        </is>
      </c>
      <c r="AF288" s="42">
        <f>IF(ISBLANK(AE288),"",": ")</f>
        <v/>
      </c>
      <c r="AG288" s="42" t="inlineStr">
        <is>
          <t>JFAC Budget Setting</t>
        </is>
      </c>
      <c r="AH288" s="42">
        <f>IF(ISBLANK(AE288),"","&lt;/b&gt;")</f>
        <v/>
      </c>
      <c r="AI288" s="42" t="inlineStr">
        <is>
          <t>02/20: JFAC Budget Setting&lt;br&gt;02/02: JFAC Budget Hearing</t>
        </is>
      </c>
      <c r="AJ288" s="42">
        <f>IF(ISBLANK(AI288),"","&lt;br&gt;"&amp;AI288)</f>
        <v/>
      </c>
      <c r="AK288" s="42" t="n"/>
      <c r="AL288" s="42" t="n"/>
      <c r="AM288" s="42" t="n"/>
      <c r="AN288" s="42">
        <f>IF(ISBLANK(AM288),"","&lt;/i&gt;")</f>
        <v/>
      </c>
      <c r="AO288" s="35">
        <f>IF(ISBLANK(AQ288),"","&lt;/b&gt;&lt;br&gt;&lt;br&gt;")</f>
        <v/>
      </c>
      <c r="AP288" s="42">
        <f>IF(ISBLANK(AQ288),"","&lt;b&gt;")</f>
        <v/>
      </c>
      <c r="AQ288" s="42" t="n"/>
      <c r="AR288" s="4" t="n"/>
      <c r="AS288" s="4">
        <f>IF(ISBLANK(AR288),""," %")</f>
        <v/>
      </c>
      <c r="AT288" s="4">
        <f t="array" ref="AT288">_xlfn.IFS(NOT(ISBLANK(AU288))," (pgs. ",NOT(ISBLANK(AS288))," (pg. ", ISBLANK(AS288), "")</f>
        <v/>
      </c>
      <c r="AU288" s="52" t="n"/>
      <c r="AV288" s="4">
        <f>IF(ISBLANK(AW288),"",", ")</f>
        <v/>
      </c>
      <c r="AW288" s="42" t="n"/>
      <c r="AX288" s="4">
        <f>IF(ISBLANK(AY288),"",",&lt;br&gt;")</f>
        <v/>
      </c>
      <c r="AY288" s="42" t="n"/>
      <c r="AZ288" s="49">
        <f>IF(ISBLANK(AU288),"",")&lt;/b&gt;")</f>
        <v/>
      </c>
      <c r="BA288" s="4">
        <f>IF(ISBLANK(BC288),"","&lt;br&gt;")</f>
        <v/>
      </c>
      <c r="BB288" s="42">
        <f t="array" ref="BB288">IF(ISBLANK(BC288),"",_xlfn.LET(
_xlpm.words,_xlfn.TEXTSPLIT(TRIM(BC288),"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88" s="50" t="n"/>
    </row>
    <row r="289">
      <c r="A289" s="20">
        <f>_xlfn.TEXTJOIN("", TRUE, F289:H289)</f>
        <v/>
      </c>
      <c r="B289" s="21">
        <f>_xlfn.TEXTJOIN("", TRUE, I289:S289)</f>
        <v/>
      </c>
      <c r="C289" s="21">
        <f>IF(ISBLANK(X289),"", _xlfn.TEXTJOIN("",TRUE,T289:Z289))</f>
        <v/>
      </c>
      <c r="D289" s="21">
        <f>IF(ISBLANK(AB289), "", _xlfn.TEXTJOIN("", TRUE, AA289:AC289))</f>
        <v/>
      </c>
      <c r="E289" s="22">
        <f>IF(AU289="NA", _xlfn.TEXTJOIN("", TRUE, AD289:AH289), _xlfn.TEXTJOIN("", TRUE, AD289:AJ289))</f>
        <v/>
      </c>
      <c r="F289" s="42">
        <f>IF(LEFT(G289,4)="FY26","&lt;b&gt;","&lt;i&gt;")</f>
        <v/>
      </c>
      <c r="G289" s="42" t="inlineStr">
        <is>
          <t>FY27 Enhancement</t>
        </is>
      </c>
      <c r="H289" s="42">
        <f>IF(LEFT(G289,4)="FY26","&lt;/b&gt;","&lt;/i&gt;")</f>
        <v/>
      </c>
      <c r="I289" s="43" t="inlineStr">
        <is>
          <t>&lt;i&gt;</t>
        </is>
      </c>
      <c r="J289" s="44" t="inlineStr">
        <is>
          <t>General Government</t>
        </is>
      </c>
      <c r="K289" s="44" t="inlineStr">
        <is>
          <t>&lt;/i&gt;</t>
        </is>
      </c>
      <c r="L289" s="4">
        <f>IF(ISBLANK(N289),"","&lt;br&gt;")</f>
        <v/>
      </c>
      <c r="M289" s="42">
        <f>IF(ISBLANK(R289),"&lt;b&gt;","&lt;i&gt;")</f>
        <v/>
      </c>
      <c r="N289" s="42" t="inlineStr">
        <is>
          <t>Office of the Governor</t>
        </is>
      </c>
      <c r="O289" s="42">
        <f>IF(ISBLANK(R289),"&lt;/b&gt;","&lt;/i&gt;")</f>
        <v/>
      </c>
      <c r="P289" s="4">
        <f>IF(ISBLANK(R289),"","&lt;br&gt;")</f>
        <v/>
      </c>
      <c r="Q289" s="42">
        <f>IF(ISBLANK(R289),"","&lt;b&gt;")</f>
        <v/>
      </c>
      <c r="R289" s="42" t="inlineStr">
        <is>
          <t>Office of Information Technology Services</t>
        </is>
      </c>
      <c r="S289" s="42">
        <f>IF(ISBLANK(R289),"","&lt;/i&gt;")</f>
        <v/>
      </c>
      <c r="T289" s="42">
        <f>IF(ISBLANK(X289),"",IF(OR(AB289="PASSED",ISBLANK(N289)),"&lt;b&gt;","&lt;i&gt;"))</f>
        <v/>
      </c>
      <c r="U289" s="3">
        <f>IF(ISBLANK(V289),"","&lt;a href='")</f>
        <v/>
      </c>
      <c r="V289" s="13" t="inlineStr">
        <is>
          <t>https://legislature.idaho.gov/sessioninfo/rs/</t>
        </is>
      </c>
      <c r="W289" s="17">
        <f>IF(ISBLANK(V289),"","'&gt;")</f>
        <v/>
      </c>
      <c r="X289" s="12" t="inlineStr">
        <is>
          <t>Enhancement</t>
        </is>
      </c>
      <c r="Y289" s="17">
        <f>IF(ISBLANK(X289),"","&lt;/a&gt;")</f>
        <v/>
      </c>
      <c r="Z289" s="42">
        <f>IF(ISBLANK(X289),"",IF(OR(AB289="PASSED",ISBLANK(N289)),"&lt;/b&gt;","&lt;/i&gt;"))</f>
        <v/>
      </c>
      <c r="AA289" s="43">
        <f>IF(AB289="PASSED","&lt;b&gt;","")</f>
        <v/>
      </c>
      <c r="AB289" s="45" t="inlineStr">
        <is>
          <t>INTRODUCED</t>
        </is>
      </c>
      <c r="AC289" s="43">
        <f>IF(AB289="PASSED","&lt;/b&gt;","")</f>
        <v/>
      </c>
      <c r="AD289" s="43">
        <f>IF(ISBLANK(AE289),"","&lt;b&gt;")</f>
        <v/>
      </c>
      <c r="AE289" s="51" t="inlineStr">
        <is>
          <t>02/27</t>
        </is>
      </c>
      <c r="AF289" s="42">
        <f>IF(ISBLANK(AE289),"",": ")</f>
        <v/>
      </c>
      <c r="AG289" s="42" t="inlineStr">
        <is>
          <t>JFAC Budget Setting</t>
        </is>
      </c>
      <c r="AH289" s="42">
        <f>IF(ISBLANK(AE289),"","&lt;/b&gt;")</f>
        <v/>
      </c>
      <c r="AI289" s="42" t="inlineStr">
        <is>
          <t>02/02: JFAC Budget Hearing</t>
        </is>
      </c>
      <c r="AJ289" s="42">
        <f>IF(ISBLANK(AI289),"","&lt;br&gt;"&amp;AI289)</f>
        <v/>
      </c>
      <c r="AK289" s="42" t="n"/>
      <c r="AL289" s="42" t="n"/>
      <c r="AM289" s="42" t="n"/>
      <c r="AN289" s="42">
        <f>IF(ISBLANK(AM289),"","&lt;/i&gt;")</f>
        <v/>
      </c>
      <c r="AO289" s="35">
        <f>IF(ISBLANK(AQ289),"","&lt;/b&gt;&lt;br&gt;&lt;br&gt;")</f>
        <v/>
      </c>
      <c r="AP289" s="42">
        <f>IF(ISBLANK(AQ289),"","&lt;b&gt;")</f>
        <v/>
      </c>
      <c r="AQ289" s="42" t="n"/>
      <c r="AR289" s="4" t="n"/>
      <c r="AS289" s="4">
        <f>IF(ISBLANK(AR289),""," %")</f>
        <v/>
      </c>
      <c r="AT289" s="4">
        <f t="array" ref="AT289">_xlfn.IFS(NOT(ISBLANK(AU289))," (pgs. ",NOT(ISBLANK(AS289))," (pg. ", ISBLANK(AS289), "")</f>
        <v/>
      </c>
      <c r="AU289" s="42" t="n"/>
      <c r="AV289" s="4">
        <f>IF(ISBLANK(AW289),"",", ")</f>
        <v/>
      </c>
      <c r="AW289" s="42" t="n"/>
      <c r="AX289" s="4">
        <f>IF(ISBLANK(AY289),"",",&lt;br&gt;")</f>
        <v/>
      </c>
      <c r="AY289" s="42" t="n"/>
      <c r="AZ289" s="49">
        <f>IF(ISBLANK(AU289),"",")&lt;/b&gt;")</f>
        <v/>
      </c>
      <c r="BA289" s="4">
        <f>IF(ISBLANK(BC289),"","&lt;br&gt;")</f>
        <v/>
      </c>
      <c r="BB289" s="42">
        <f t="array" ref="BB289">IF(ISBLANK(BC289),"",_xlfn.LET(
_xlpm.words,_xlfn.TEXTSPLIT(TRIM(BC289),"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89" s="50" t="n"/>
    </row>
    <row r="290">
      <c r="A290" s="20">
        <f>_xlfn.TEXTJOIN("", TRUE, F290:H290)</f>
        <v/>
      </c>
      <c r="B290" s="21">
        <f>_xlfn.TEXTJOIN("", TRUE, I290:S290)</f>
        <v/>
      </c>
      <c r="C290" s="21">
        <f>IF(ISBLANK(X290),"", _xlfn.TEXTJOIN("",TRUE,T290:Z290))</f>
        <v/>
      </c>
      <c r="D290" s="21">
        <f>IF(ISBLANK(AB290), "", _xlfn.TEXTJOIN("", TRUE, AA290:AC290))</f>
        <v/>
      </c>
      <c r="E290" s="22">
        <f>IF(AU290="NA", _xlfn.TEXTJOIN("", TRUE, AD290:AH290), _xlfn.TEXTJOIN("", TRUE, AD290:AJ290))</f>
        <v/>
      </c>
      <c r="F290" s="42">
        <f>IF(LEFT(G290,4)="FY26","&lt;b&gt;","&lt;i&gt;")</f>
        <v/>
      </c>
      <c r="G290" s="42" t="inlineStr">
        <is>
          <t>FY27 Enhancement</t>
        </is>
      </c>
      <c r="H290" s="42">
        <f>IF(LEFT(G290,4)="FY26","&lt;/b&gt;","&lt;/i&gt;")</f>
        <v/>
      </c>
      <c r="I290" s="43" t="inlineStr">
        <is>
          <t>&lt;i&gt;</t>
        </is>
      </c>
      <c r="J290" s="44" t="inlineStr">
        <is>
          <t>Natural Resources</t>
        </is>
      </c>
      <c r="K290" s="44" t="inlineStr">
        <is>
          <t>&lt;/i&gt;</t>
        </is>
      </c>
      <c r="L290" s="4">
        <f>IF(ISBLANK(N290),"","&lt;br&gt;")</f>
        <v/>
      </c>
      <c r="M290" s="42">
        <f>IF(ISBLANK(R290),"&lt;b&gt;","&lt;i&gt;")</f>
        <v/>
      </c>
      <c r="N290" s="42" t="inlineStr">
        <is>
          <t>Dept. of Fish &amp; Game</t>
        </is>
      </c>
      <c r="O290" s="42">
        <f>IF(ISBLANK(R290),"&lt;/b&gt;","&lt;/i&gt;")</f>
        <v/>
      </c>
      <c r="P290" s="4">
        <f>IF(ISBLANK(R290),"","&lt;br&gt;")</f>
        <v/>
      </c>
      <c r="Q290" s="42">
        <f>IF(ISBLANK(R290),"","&lt;b&gt;")</f>
        <v/>
      </c>
      <c r="R290" s="42" t="n"/>
      <c r="S290" s="42">
        <f>IF(ISBLANK(R290),"","&lt;/i&gt;")</f>
        <v/>
      </c>
      <c r="T290" s="42">
        <f>IF(ISBLANK(X290),"",IF(OR(AB290="PASSED",ISBLANK(N290)),"&lt;b&gt;","&lt;i&gt;"))</f>
        <v/>
      </c>
      <c r="U290" s="3">
        <f>IF(ISBLANK(V290),"","&lt;a href='")</f>
        <v/>
      </c>
      <c r="V290" s="13" t="inlineStr">
        <is>
          <t>https://legislature.idaho.gov/sessioninfo/2026/legislation/S1382/</t>
        </is>
      </c>
      <c r="W290" s="17">
        <f>IF(ISBLANK(V290),"","'&gt;")</f>
        <v/>
      </c>
      <c r="X290" s="12" t="inlineStr">
        <is>
          <t>Senate Bill 1382</t>
        </is>
      </c>
      <c r="Y290" s="17">
        <f>IF(ISBLANK(X290),"","&lt;/a&gt;")</f>
        <v/>
      </c>
      <c r="Z290" s="42">
        <f>IF(ISBLANK(X290),"",IF(OR(AB290="PASSED",ISBLANK(N290)),"&lt;/b&gt;","&lt;/i&gt;"))</f>
        <v/>
      </c>
      <c r="AA290" s="43">
        <f>IF(AB290="PASSED","&lt;b&gt;","")</f>
        <v/>
      </c>
      <c r="AB290" s="45" t="inlineStr">
        <is>
          <t>INTRODUCED</t>
        </is>
      </c>
      <c r="AC290" s="43">
        <f>IF(AB290="PASSED","&lt;/b&gt;","")</f>
        <v/>
      </c>
      <c r="AD290" s="43">
        <f>IF(ISBLANK(AE290),"","&lt;b&gt;")</f>
        <v/>
      </c>
      <c r="AE290" s="51" t="inlineStr">
        <is>
          <t>02/27</t>
        </is>
      </c>
      <c r="AF290" s="42">
        <f>IF(ISBLANK(AE290),"",": ")</f>
        <v/>
      </c>
      <c r="AG290" s="42" t="inlineStr">
        <is>
          <t>JFAC Budget Setting</t>
        </is>
      </c>
      <c r="AH290" s="42">
        <f>IF(ISBLANK(AE290),"","&lt;/b&gt;")</f>
        <v/>
      </c>
      <c r="AI290" s="42" t="inlineStr">
        <is>
          <t>02/25: JFAC Budget Hearing</t>
        </is>
      </c>
      <c r="AJ290" s="42">
        <f>IF(ISBLANK(AI290),"","&lt;br&gt;"&amp;AI290)</f>
        <v/>
      </c>
      <c r="AK290" s="42" t="n"/>
      <c r="AL290" s="42" t="n"/>
      <c r="AM290" s="42" t="n"/>
      <c r="AN290" s="42">
        <f>IF(ISBLANK(AM290),"","&lt;/i&gt;")</f>
        <v/>
      </c>
      <c r="AO290" s="35">
        <f>IF(ISBLANK(AQ290),"","&lt;/b&gt;&lt;br&gt;&lt;br&gt;")</f>
        <v/>
      </c>
      <c r="AP290" s="42">
        <f>IF(ISBLANK(AQ290),"","&lt;b&gt;")</f>
        <v/>
      </c>
      <c r="AQ290" s="42" t="n"/>
      <c r="AR290" s="4" t="n"/>
      <c r="AS290" s="4">
        <f>IF(ISBLANK(AR290),""," %")</f>
        <v/>
      </c>
      <c r="AT290" s="4">
        <f t="array" ref="AT290">_xlfn.IFS(NOT(ISBLANK(AU290))," (pgs. ",NOT(ISBLANK(AS290))," (pg. ", ISBLANK(AS290), "")</f>
        <v/>
      </c>
      <c r="AU290" s="42" t="n"/>
      <c r="AV290" s="4">
        <f>IF(ISBLANK(AW290),"",", ")</f>
        <v/>
      </c>
      <c r="AW290" s="42" t="n"/>
      <c r="AX290" s="4">
        <f>IF(ISBLANK(AY290),"",",&lt;br&gt;")</f>
        <v/>
      </c>
      <c r="AY290" s="42" t="n"/>
      <c r="AZ290" s="49">
        <f>IF(ISBLANK(AU290),"",")&lt;/b&gt;")</f>
        <v/>
      </c>
      <c r="BA290" s="4">
        <f>IF(ISBLANK(BC290),"","&lt;br&gt;")</f>
        <v/>
      </c>
      <c r="BB290" s="42">
        <f t="array" ref="BB290">IF(ISBLANK(BC290),"",_xlfn.LET(
_xlpm.words,_xlfn.TEXTSPLIT(TRIM(BC290),"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90" s="50" t="n"/>
    </row>
    <row r="291">
      <c r="A291" s="20">
        <f>_xlfn.TEXTJOIN("", TRUE, F291:H291)</f>
        <v/>
      </c>
      <c r="B291" s="21">
        <f>_xlfn.TEXTJOIN("", TRUE, I291:S291)</f>
        <v/>
      </c>
      <c r="C291" s="21">
        <f>IF(ISBLANK(X291),"", _xlfn.TEXTJOIN("",TRUE,T291:Z291))</f>
        <v/>
      </c>
      <c r="D291" s="21">
        <f>IF(ISBLANK(AB291), "", _xlfn.TEXTJOIN("", TRUE, AA291:AC291))</f>
        <v/>
      </c>
      <c r="E291" s="22">
        <f>IF(AU291="NA", _xlfn.TEXTJOIN("", TRUE, AD291:AH291), _xlfn.TEXTJOIN("", TRUE, AD291:AJ291))</f>
        <v/>
      </c>
      <c r="F291" s="42">
        <f>IF(LEFT(G291,4)="FY26","&lt;b&gt;","&lt;i&gt;")</f>
        <v/>
      </c>
      <c r="G291" s="42" t="inlineStr">
        <is>
          <t>FY27 Enhancement</t>
        </is>
      </c>
      <c r="H291" s="42">
        <f>IF(LEFT(G291,4)="FY26","&lt;/b&gt;","&lt;/i&gt;")</f>
        <v/>
      </c>
      <c r="I291" s="43" t="inlineStr">
        <is>
          <t>&lt;i&gt;</t>
        </is>
      </c>
      <c r="J291" s="44" t="inlineStr">
        <is>
          <t>Economic Development</t>
        </is>
      </c>
      <c r="K291" s="44" t="inlineStr">
        <is>
          <t>&lt;/i&gt;</t>
        </is>
      </c>
      <c r="L291" s="4">
        <f>IF(ISBLANK(N291),"","&lt;br&gt;")</f>
        <v/>
      </c>
      <c r="M291" s="42">
        <f>IF(ISBLANK(R291),"&lt;b&gt;","&lt;i&gt;")</f>
        <v/>
      </c>
      <c r="N291" s="42" t="inlineStr">
        <is>
          <t>Dept. of Self-Governing Agencies</t>
        </is>
      </c>
      <c r="O291" s="42">
        <f>IF(ISBLANK(R291),"&lt;/b&gt;","&lt;/i&gt;")</f>
        <v/>
      </c>
      <c r="P291" s="4">
        <f>IF(ISBLANK(R291),"","&lt;br&gt;")</f>
        <v/>
      </c>
      <c r="Q291" s="42">
        <f>IF(ISBLANK(R291),"","&lt;b&gt;")</f>
        <v/>
      </c>
      <c r="R291" s="42" t="inlineStr">
        <is>
          <t>Div. of Veterans Services</t>
        </is>
      </c>
      <c r="S291" s="42">
        <f>IF(ISBLANK(R291),"","&lt;/i&gt;")</f>
        <v/>
      </c>
      <c r="T291" s="42">
        <f>IF(ISBLANK(X291),"",IF(OR(AB291="PASSED",ISBLANK(N291)),"&lt;b&gt;","&lt;i&gt;"))</f>
        <v/>
      </c>
      <c r="U291" s="3">
        <f>IF(ISBLANK(V291),"","&lt;a href='")</f>
        <v/>
      </c>
      <c r="V291" s="13" t="inlineStr">
        <is>
          <t>https://legislature.idaho.gov/sessioninfo/2026/legislation/S1383/</t>
        </is>
      </c>
      <c r="W291" s="17">
        <f>IF(ISBLANK(V291),"","'&gt;")</f>
        <v/>
      </c>
      <c r="X291" s="12" t="inlineStr">
        <is>
          <t>Senate Bill 1383</t>
        </is>
      </c>
      <c r="Y291" s="17">
        <f>IF(ISBLANK(X291),"","&lt;/a&gt;")</f>
        <v/>
      </c>
      <c r="Z291" s="42">
        <f>IF(ISBLANK(X291),"",IF(OR(AB291="PASSED",ISBLANK(N291)),"&lt;/b&gt;","&lt;/i&gt;"))</f>
        <v/>
      </c>
      <c r="AA291" s="43">
        <f>IF(AB291="PASSED","&lt;b&gt;","")</f>
        <v/>
      </c>
      <c r="AB291" s="45" t="inlineStr">
        <is>
          <t>INTRODUCED</t>
        </is>
      </c>
      <c r="AC291" s="43">
        <f>IF(AB291="PASSED","&lt;/b&gt;","")</f>
        <v/>
      </c>
      <c r="AD291" s="43">
        <f>IF(ISBLANK(AE291),"","&lt;b&gt;")</f>
        <v/>
      </c>
      <c r="AE291" s="51" t="inlineStr">
        <is>
          <t>02/20</t>
        </is>
      </c>
      <c r="AF291" s="42">
        <f>IF(ISBLANK(AE291),"",": ")</f>
        <v/>
      </c>
      <c r="AG291" s="42" t="inlineStr">
        <is>
          <t>JFAC Budget Setting</t>
        </is>
      </c>
      <c r="AH291" s="42">
        <f>IF(ISBLANK(AE291),"","&lt;/b&gt;")</f>
        <v/>
      </c>
      <c r="AI291" s="42" t="inlineStr">
        <is>
          <t>01/29: JFAC Budget Hearing</t>
        </is>
      </c>
      <c r="AJ291" s="42">
        <f>IF(ISBLANK(AI291),"","&lt;br&gt;"&amp;AI291)</f>
        <v/>
      </c>
      <c r="AK291" s="42" t="n"/>
      <c r="AL291" s="42" t="n"/>
      <c r="AM291" s="42" t="n"/>
      <c r="AN291" s="42">
        <f>IF(ISBLANK(AM291),"","&lt;/i&gt;")</f>
        <v/>
      </c>
      <c r="AO291" s="35">
        <f>IF(ISBLANK(AQ291),"","&lt;/b&gt;&lt;br&gt;&lt;br&gt;")</f>
        <v/>
      </c>
      <c r="AP291" s="42">
        <f>IF(ISBLANK(AQ291),"","&lt;b&gt;")</f>
        <v/>
      </c>
      <c r="AQ291" s="42" t="n"/>
      <c r="AR291" s="4" t="n"/>
      <c r="AS291" s="4">
        <f>IF(ISBLANK(AR291),""," %")</f>
        <v/>
      </c>
      <c r="AT291" s="4">
        <f t="array" ref="AT291">_xlfn.IFS(NOT(ISBLANK(AU291))," (pgs. ",NOT(ISBLANK(AS291))," (pg. ", ISBLANK(AS291), "")</f>
        <v/>
      </c>
      <c r="AU291" s="52" t="n"/>
      <c r="AV291" s="4">
        <f>IF(ISBLANK(AW291),"",", ")</f>
        <v/>
      </c>
      <c r="AW291" s="42" t="n"/>
      <c r="AX291" s="4">
        <f>IF(ISBLANK(AY291),"",",&lt;br&gt;")</f>
        <v/>
      </c>
      <c r="AY291" s="42" t="n"/>
      <c r="AZ291" s="49">
        <f>IF(ISBLANK(AU291),"",")&lt;/b&gt;")</f>
        <v/>
      </c>
      <c r="BA291" s="4">
        <f>IF(ISBLANK(BC291),"","&lt;br&gt;")</f>
        <v/>
      </c>
      <c r="BB291" s="42">
        <f t="array" ref="BB291">IF(ISBLANK(BC291),"",_xlfn.LET(
_xlpm.words,_xlfn.TEXTSPLIT(TRIM(BC291),"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91" s="50" t="n"/>
    </row>
    <row r="292">
      <c r="A292" s="20">
        <f>_xlfn.TEXTJOIN("", TRUE, F292:H292)</f>
        <v/>
      </c>
      <c r="B292" s="21">
        <f>_xlfn.TEXTJOIN("", TRUE, I292:S292)</f>
        <v/>
      </c>
      <c r="C292" s="21">
        <f>IF(ISBLANK(X292),"", _xlfn.TEXTJOIN("",TRUE,T292:Z292))</f>
        <v/>
      </c>
      <c r="D292" s="21">
        <f>IF(ISBLANK(AB292), "", _xlfn.TEXTJOIN("", TRUE, AA292:AC292))</f>
        <v/>
      </c>
      <c r="E292" s="22">
        <f>IF(AU292="NA", _xlfn.TEXTJOIN("", TRUE, AD292:AH292), _xlfn.TEXTJOIN("", TRUE, AD292:AJ292))</f>
        <v/>
      </c>
      <c r="F292" s="42">
        <f>IF(LEFT(G292,4)="FY26","&lt;b&gt;","&lt;i&gt;")</f>
        <v/>
      </c>
      <c r="G292" s="42" t="inlineStr">
        <is>
          <t>FY27 Enhancement</t>
        </is>
      </c>
      <c r="H292" s="42">
        <f>IF(LEFT(G292,4)="FY26","&lt;/b&gt;","&lt;/i&gt;")</f>
        <v/>
      </c>
      <c r="I292" s="43" t="inlineStr">
        <is>
          <t>&lt;i&gt;</t>
        </is>
      </c>
      <c r="J292" s="44" t="inlineStr">
        <is>
          <t>General Government</t>
        </is>
      </c>
      <c r="K292" s="44" t="inlineStr">
        <is>
          <t>&lt;/i&gt;</t>
        </is>
      </c>
      <c r="L292" s="4">
        <f>IF(ISBLANK(N292),"","&lt;br&gt;")</f>
        <v/>
      </c>
      <c r="M292" s="42">
        <f>IF(ISBLANK(R292),"&lt;b&gt;","&lt;i&gt;")</f>
        <v/>
      </c>
      <c r="N292" s="42" t="inlineStr">
        <is>
          <t>Office of the Governor</t>
        </is>
      </c>
      <c r="O292" s="42">
        <f>IF(ISBLANK(R292),"&lt;/b&gt;","&lt;/i&gt;")</f>
        <v/>
      </c>
      <c r="P292" s="4">
        <f>IF(ISBLANK(R292),"","&lt;br&gt;")</f>
        <v/>
      </c>
      <c r="Q292" s="42">
        <f>IF(ISBLANK(R292),"","&lt;b&gt;")</f>
        <v/>
      </c>
      <c r="R292" s="42" t="inlineStr">
        <is>
          <t>Comm. for the Blind &amp; Visually Impaired</t>
        </is>
      </c>
      <c r="S292" s="42">
        <f>IF(ISBLANK(R292),"","&lt;/i&gt;")</f>
        <v/>
      </c>
      <c r="T292" s="42">
        <f>IF(ISBLANK(X292),"",IF(OR(AB292="PASSED",ISBLANK(N292)),"&lt;b&gt;","&lt;i&gt;"))</f>
        <v/>
      </c>
      <c r="U292" s="3">
        <f>IF(ISBLANK(V292),"","&lt;a href='")</f>
        <v/>
      </c>
      <c r="V292" s="13" t="inlineStr">
        <is>
          <t>https://legislature.idaho.gov/sessioninfo/rs/</t>
        </is>
      </c>
      <c r="W292" s="17">
        <f>IF(ISBLANK(V292),"","'&gt;")</f>
        <v/>
      </c>
      <c r="X292" s="12" t="inlineStr">
        <is>
          <t>Enhancement</t>
        </is>
      </c>
      <c r="Y292" s="17">
        <f>IF(ISBLANK(X292),"","&lt;/a&gt;")</f>
        <v/>
      </c>
      <c r="Z292" s="42">
        <f>IF(ISBLANK(X292),"",IF(OR(AB292="PASSED",ISBLANK(N292)),"&lt;/b&gt;","&lt;/i&gt;"))</f>
        <v/>
      </c>
      <c r="AA292" s="43">
        <f>IF(AB292="PASSED","&lt;b&gt;","")</f>
        <v/>
      </c>
      <c r="AB292" s="45" t="inlineStr">
        <is>
          <t>INTRODUCED</t>
        </is>
      </c>
      <c r="AC292" s="43">
        <f>IF(AB292="PASSED","&lt;/b&gt;","")</f>
        <v/>
      </c>
      <c r="AD292" s="43">
        <f>IF(ISBLANK(AE292),"","&lt;b&gt;")</f>
        <v/>
      </c>
      <c r="AE292" s="51" t="inlineStr">
        <is>
          <t>02/20</t>
        </is>
      </c>
      <c r="AF292" s="42">
        <f>IF(ISBLANK(AE292),"",": ")</f>
        <v/>
      </c>
      <c r="AG292" s="42" t="inlineStr">
        <is>
          <t>JFAC Budget Setting</t>
        </is>
      </c>
      <c r="AH292" s="42">
        <f>IF(ISBLANK(AE292),"","&lt;/b&gt;")</f>
        <v/>
      </c>
      <c r="AI292" s="42" t="inlineStr">
        <is>
          <t>02/10: JFAC Budget Hearing</t>
        </is>
      </c>
      <c r="AJ292" s="42">
        <f>IF(ISBLANK(AI292),"","&lt;br&gt;"&amp;AI292)</f>
        <v/>
      </c>
      <c r="AK292" s="42" t="n"/>
      <c r="AL292" s="42" t="n"/>
      <c r="AM292" s="42" t="n"/>
      <c r="AN292" s="42">
        <f>IF(ISBLANK(AM292),"","&lt;/i&gt;")</f>
        <v/>
      </c>
      <c r="AO292" s="35">
        <f>IF(ISBLANK(AQ292),"","&lt;/b&gt;&lt;br&gt;&lt;br&gt;")</f>
        <v/>
      </c>
      <c r="AP292" s="42">
        <f>IF(ISBLANK(AQ292),"","&lt;b&gt;")</f>
        <v/>
      </c>
      <c r="AQ292" s="42" t="n"/>
      <c r="AR292" s="4" t="n"/>
      <c r="AS292" s="4">
        <f>IF(ISBLANK(AR292),""," %")</f>
        <v/>
      </c>
      <c r="AT292" s="4">
        <f t="array" ref="AT292">_xlfn.IFS(NOT(ISBLANK(AU292))," (pgs. ",NOT(ISBLANK(AS292))," (pg. ", ISBLANK(AS292), "")</f>
        <v/>
      </c>
      <c r="AU292" s="52" t="n"/>
      <c r="AV292" s="4">
        <f>IF(ISBLANK(AW292),"",", ")</f>
        <v/>
      </c>
      <c r="AW292" s="42" t="n"/>
      <c r="AX292" s="4">
        <f>IF(ISBLANK(AY292),"",",&lt;br&gt;")</f>
        <v/>
      </c>
      <c r="AY292" s="42" t="n"/>
      <c r="AZ292" s="49">
        <f>IF(ISBLANK(AU292),"",")&lt;/b&gt;")</f>
        <v/>
      </c>
      <c r="BA292" s="4">
        <f>IF(ISBLANK(BC292),"","&lt;br&gt;")</f>
        <v/>
      </c>
      <c r="BB292" s="42">
        <f t="array" ref="BB292">IF(ISBLANK(BC292),"",_xlfn.LET(
_xlpm.words,_xlfn.TEXTSPLIT(TRIM(BC292),"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92" s="50" t="n"/>
    </row>
    <row r="293">
      <c r="A293" s="20">
        <f>_xlfn.TEXTJOIN("", TRUE, F293:H293)</f>
        <v/>
      </c>
      <c r="B293" s="21">
        <f>_xlfn.TEXTJOIN("", TRUE, I293:S293)</f>
        <v/>
      </c>
      <c r="C293" s="21">
        <f>IF(ISBLANK(X293),"", _xlfn.TEXTJOIN("",TRUE,T293:Z293))</f>
        <v/>
      </c>
      <c r="D293" s="21">
        <f>IF(ISBLANK(AB293), "", _xlfn.TEXTJOIN("", TRUE, AA293:AC293))</f>
        <v/>
      </c>
      <c r="E293" s="22">
        <f>IF(AU293="NA", _xlfn.TEXTJOIN("", TRUE, AD293:AH293), _xlfn.TEXTJOIN("", TRUE, AD293:AJ293))</f>
        <v/>
      </c>
      <c r="F293" s="42">
        <f>IF(LEFT(G293,4)="FY26","&lt;b&gt;","&lt;i&gt;")</f>
        <v/>
      </c>
      <c r="G293" s="42" t="inlineStr">
        <is>
          <t>FY27 Enhancement</t>
        </is>
      </c>
      <c r="H293" s="42">
        <f>IF(LEFT(G293,4)="FY26","&lt;/b&gt;","&lt;/i&gt;")</f>
        <v/>
      </c>
      <c r="I293" s="43" t="inlineStr">
        <is>
          <t>&lt;i&gt;</t>
        </is>
      </c>
      <c r="J293" s="44" t="inlineStr">
        <is>
          <t>General Government</t>
        </is>
      </c>
      <c r="K293" s="44" t="inlineStr">
        <is>
          <t>&lt;/i&gt;</t>
        </is>
      </c>
      <c r="L293" s="4">
        <f>IF(ISBLANK(N293),"","&lt;br&gt;")</f>
        <v/>
      </c>
      <c r="M293" s="42">
        <f>IF(ISBLANK(R293),"&lt;b&gt;","&lt;i&gt;")</f>
        <v/>
      </c>
      <c r="N293" s="42" t="inlineStr">
        <is>
          <t>Office of the Governor</t>
        </is>
      </c>
      <c r="O293" s="42">
        <f>IF(ISBLANK(R293),"&lt;/b&gt;","&lt;/i&gt;")</f>
        <v/>
      </c>
      <c r="P293" s="4">
        <f>IF(ISBLANK(R293),"","&lt;br&gt;")</f>
        <v/>
      </c>
      <c r="Q293" s="42">
        <f>IF(ISBLANK(R293),"","&lt;b&gt;")</f>
        <v/>
      </c>
      <c r="R293" s="42" t="inlineStr">
        <is>
          <t>Public Employee Retirement System</t>
        </is>
      </c>
      <c r="S293" s="42">
        <f>IF(ISBLANK(R293),"","&lt;/i&gt;")</f>
        <v/>
      </c>
      <c r="T293" s="42">
        <f>IF(ISBLANK(X293),"",IF(OR(AB293="PASSED",ISBLANK(N293)),"&lt;b&gt;","&lt;i&gt;"))</f>
        <v/>
      </c>
      <c r="U293" s="3">
        <f>IF(ISBLANK(V293),"","&lt;a href='")</f>
        <v/>
      </c>
      <c r="V293" s="13" t="inlineStr">
        <is>
          <t>https://legislature.idaho.gov/sessioninfo/rs/</t>
        </is>
      </c>
      <c r="W293" s="17">
        <f>IF(ISBLANK(V293),"","'&gt;")</f>
        <v/>
      </c>
      <c r="X293" s="12" t="inlineStr">
        <is>
          <t>Enhancement</t>
        </is>
      </c>
      <c r="Y293" s="17">
        <f>IF(ISBLANK(X293),"","&lt;/a&gt;")</f>
        <v/>
      </c>
      <c r="Z293" s="42">
        <f>IF(ISBLANK(X293),"",IF(OR(AB293="PASSED",ISBLANK(N293)),"&lt;/b&gt;","&lt;/i&gt;"))</f>
        <v/>
      </c>
      <c r="AA293" s="43">
        <f>IF(AB293="PASSED","&lt;b&gt;","")</f>
        <v/>
      </c>
      <c r="AB293" s="45" t="inlineStr">
        <is>
          <t>INTRODUCED</t>
        </is>
      </c>
      <c r="AC293" s="43">
        <f>IF(AB293="PASSED","&lt;/b&gt;","")</f>
        <v/>
      </c>
      <c r="AD293" s="43">
        <f>IF(ISBLANK(AE293),"","&lt;b&gt;")</f>
        <v/>
      </c>
      <c r="AE293" s="51" t="inlineStr">
        <is>
          <t>02/20</t>
        </is>
      </c>
      <c r="AF293" s="42">
        <f>IF(ISBLANK(AE293),"",": ")</f>
        <v/>
      </c>
      <c r="AG293" s="42" t="inlineStr">
        <is>
          <t>JFAC Budget Setting</t>
        </is>
      </c>
      <c r="AH293" s="42">
        <f>IF(ISBLANK(AE293),"","&lt;/b&gt;")</f>
        <v/>
      </c>
      <c r="AI293" s="42" t="inlineStr">
        <is>
          <t>01/29: JFAC Budget Hearing</t>
        </is>
      </c>
      <c r="AJ293" s="42">
        <f>IF(ISBLANK(AI293),"","&lt;br&gt;"&amp;AI293)</f>
        <v/>
      </c>
      <c r="AK293" s="42" t="n"/>
      <c r="AL293" s="42" t="n"/>
      <c r="AM293" s="42" t="n"/>
      <c r="AN293" s="42">
        <f>IF(ISBLANK(AM293),"","&lt;/i&gt;")</f>
        <v/>
      </c>
      <c r="AO293" s="35">
        <f>IF(ISBLANK(AQ293),"","&lt;/b&gt;&lt;br&gt;&lt;br&gt;")</f>
        <v/>
      </c>
      <c r="AP293" s="42">
        <f>IF(ISBLANK(AQ293),"","&lt;b&gt;")</f>
        <v/>
      </c>
      <c r="AQ293" s="42" t="n"/>
      <c r="AR293" s="4" t="n"/>
      <c r="AS293" s="4">
        <f>IF(ISBLANK(AR293),""," %")</f>
        <v/>
      </c>
      <c r="AT293" s="4">
        <f t="array" ref="AT293">_xlfn.IFS(NOT(ISBLANK(AU293))," (pgs. ",NOT(ISBLANK(AS293))," (pg. ", ISBLANK(AS293), "")</f>
        <v/>
      </c>
      <c r="AU293" s="52" t="n"/>
      <c r="AV293" s="4">
        <f>IF(ISBLANK(AW293),"",", ")</f>
        <v/>
      </c>
      <c r="AW293" s="42" t="n"/>
      <c r="AX293" s="4">
        <f>IF(ISBLANK(AY293),"",",&lt;br&gt;")</f>
        <v/>
      </c>
      <c r="AY293" s="42" t="n"/>
      <c r="AZ293" s="49">
        <f>IF(ISBLANK(AU293),"",")&lt;/b&gt;")</f>
        <v/>
      </c>
      <c r="BA293" s="4">
        <f>IF(ISBLANK(BC293),"","&lt;br&gt;")</f>
        <v/>
      </c>
      <c r="BB293" s="42">
        <f t="array" ref="BB293">IF(ISBLANK(BC293),"",_xlfn.LET(
_xlpm.words,_xlfn.TEXTSPLIT(TRIM(BC293),"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93" s="50" t="n"/>
    </row>
    <row r="294">
      <c r="A294" s="20">
        <f>_xlfn.TEXTJOIN("", TRUE, F294:H294)</f>
        <v/>
      </c>
      <c r="B294" s="21">
        <f>_xlfn.TEXTJOIN("", TRUE, I294:S294)</f>
        <v/>
      </c>
      <c r="C294" s="21">
        <f>IF(ISBLANK(X294),"", _xlfn.TEXTJOIN("",TRUE,T294:Z294))</f>
        <v/>
      </c>
      <c r="D294" s="21">
        <f>IF(ISBLANK(AB294), "", _xlfn.TEXTJOIN("", TRUE, AA294:AC294))</f>
        <v/>
      </c>
      <c r="E294" s="22">
        <f>IF(AU294="NA", _xlfn.TEXTJOIN("", TRUE, AD294:AH294), _xlfn.TEXTJOIN("", TRUE, AD294:AJ294))</f>
        <v/>
      </c>
      <c r="F294" s="42">
        <f>IF(LEFT(G294,4)="FY26","&lt;b&gt;","&lt;i&gt;")</f>
        <v/>
      </c>
      <c r="G294" s="42" t="inlineStr">
        <is>
          <t>FY27 Enhancement</t>
        </is>
      </c>
      <c r="H294" s="42">
        <f>IF(LEFT(G294,4)="FY26","&lt;/b&gt;","&lt;/i&gt;")</f>
        <v/>
      </c>
      <c r="I294" s="43" t="inlineStr">
        <is>
          <t>&lt;i&gt;</t>
        </is>
      </c>
      <c r="J294" s="44" t="inlineStr">
        <is>
          <t>State Board of Education</t>
        </is>
      </c>
      <c r="K294" s="44" t="inlineStr">
        <is>
          <t>&lt;/i&gt;</t>
        </is>
      </c>
      <c r="L294" s="4">
        <f>IF(ISBLANK(N294),"","&lt;br&gt;")</f>
        <v/>
      </c>
      <c r="M294" s="42">
        <f>IF(ISBLANK(R294),"&lt;b&gt;","&lt;i&gt;")</f>
        <v/>
      </c>
      <c r="N294" s="42" t="inlineStr">
        <is>
          <t>Vocational Rehabilitation</t>
        </is>
      </c>
      <c r="O294" s="42">
        <f>IF(ISBLANK(R294),"&lt;/b&gt;","&lt;/i&gt;")</f>
        <v/>
      </c>
      <c r="P294" s="4">
        <f>IF(ISBLANK(R294),"","&lt;br&gt;")</f>
        <v/>
      </c>
      <c r="Q294" s="42">
        <f>IF(ISBLANK(R294),"","&lt;b&gt;")</f>
        <v/>
      </c>
      <c r="R294" s="42" t="n"/>
      <c r="S294" s="42">
        <f>IF(ISBLANK(R294),"","&lt;/i&gt;")</f>
        <v/>
      </c>
      <c r="T294" s="42">
        <f>IF(ISBLANK(X294),"",IF(OR(AB294="PASSED",ISBLANK(N294)),"&lt;b&gt;","&lt;i&gt;"))</f>
        <v/>
      </c>
      <c r="U294" s="3">
        <f>IF(ISBLANK(V294),"","&lt;a href='")</f>
        <v/>
      </c>
      <c r="V294" s="13" t="inlineStr">
        <is>
          <t>https://legislature.idaho.gov/sessioninfo/rs/</t>
        </is>
      </c>
      <c r="W294" s="17">
        <f>IF(ISBLANK(V294),"","'&gt;")</f>
        <v/>
      </c>
      <c r="X294" s="12" t="inlineStr">
        <is>
          <t>Enhancement</t>
        </is>
      </c>
      <c r="Y294" s="17">
        <f>IF(ISBLANK(X294),"","&lt;/a&gt;")</f>
        <v/>
      </c>
      <c r="Z294" s="42">
        <f>IF(ISBLANK(X294),"",IF(OR(AB294="PASSED",ISBLANK(N294)),"&lt;/b&gt;","&lt;/i&gt;"))</f>
        <v/>
      </c>
      <c r="AA294" s="43">
        <f>IF(AB294="PASSED","&lt;b&gt;","")</f>
        <v/>
      </c>
      <c r="AB294" s="45" t="inlineStr">
        <is>
          <t>INTRODUCED</t>
        </is>
      </c>
      <c r="AC294" s="43">
        <f>IF(AB294="PASSED","&lt;/b&gt;","")</f>
        <v/>
      </c>
      <c r="AD294" s="43">
        <f>IF(ISBLANK(AE294),"","&lt;b&gt;")</f>
        <v/>
      </c>
      <c r="AE294" s="51" t="inlineStr">
        <is>
          <t>02/20</t>
        </is>
      </c>
      <c r="AF294" s="42">
        <f>IF(ISBLANK(AE294),"",": ")</f>
        <v/>
      </c>
      <c r="AG294" s="42" t="inlineStr">
        <is>
          <t>JFAC Budget Setting</t>
        </is>
      </c>
      <c r="AH294" s="42">
        <f>IF(ISBLANK(AE294),"","&lt;/b&gt;")</f>
        <v/>
      </c>
      <c r="AI294" s="42" t="n"/>
      <c r="AJ294" s="42">
        <f>IF(ISBLANK(AI294),"","&lt;br&gt;"&amp;AI294)</f>
        <v/>
      </c>
      <c r="AK294" s="42" t="n"/>
      <c r="AL294" s="42" t="n"/>
      <c r="AM294" s="42" t="n"/>
      <c r="AN294" s="42">
        <f>IF(ISBLANK(AM294),"","&lt;/i&gt;")</f>
        <v/>
      </c>
      <c r="AO294" s="35">
        <f>IF(ISBLANK(AQ294),"","&lt;/b&gt;&lt;br&gt;&lt;br&gt;")</f>
        <v/>
      </c>
      <c r="AP294" s="42">
        <f>IF(ISBLANK(AQ294),"","&lt;b&gt;")</f>
        <v/>
      </c>
      <c r="AQ294" s="42" t="n"/>
      <c r="AR294" s="4" t="n"/>
      <c r="AS294" s="4">
        <f>IF(ISBLANK(AR294),""," %")</f>
        <v/>
      </c>
      <c r="AT294" s="4">
        <f t="array" ref="AT294">_xlfn.IFS(NOT(ISBLANK(AU294))," (pgs. ",NOT(ISBLANK(AS294))," (pg. ", ISBLANK(AS294), "")</f>
        <v/>
      </c>
      <c r="AU294" s="52" t="n"/>
      <c r="AV294" s="4">
        <f>IF(ISBLANK(AW294),"",", ")</f>
        <v/>
      </c>
      <c r="AW294" s="42" t="n"/>
      <c r="AX294" s="4">
        <f>IF(ISBLANK(AY294),"",",&lt;br&gt;")</f>
        <v/>
      </c>
      <c r="AY294" s="42" t="n"/>
      <c r="AZ294" s="49">
        <f>IF(ISBLANK(AU294),"",")&lt;/b&gt;")</f>
        <v/>
      </c>
      <c r="BA294" s="4">
        <f>IF(ISBLANK(BC294),"","&lt;br&gt;")</f>
        <v/>
      </c>
      <c r="BB294" s="42">
        <f t="array" ref="BB294">IF(ISBLANK(BC294),"",_xlfn.LET(
_xlpm.words,_xlfn.TEXTSPLIT(TRIM(BC294),"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94" s="50" t="n"/>
    </row>
    <row r="295">
      <c r="A295" s="20">
        <f>_xlfn.TEXTJOIN("", TRUE, F295:H295)</f>
        <v/>
      </c>
      <c r="B295" s="21">
        <f>_xlfn.TEXTJOIN("", TRUE, I295:S295)</f>
        <v/>
      </c>
      <c r="C295" s="21">
        <f>IF(ISBLANK(X295),"", _xlfn.TEXTJOIN("",TRUE,T295:Z295))</f>
        <v/>
      </c>
      <c r="D295" s="21">
        <f>IF(ISBLANK(AB295), "", _xlfn.TEXTJOIN("", TRUE, AA295:AC295))</f>
        <v/>
      </c>
      <c r="E295" s="22">
        <f>IF(AU295="NA", _xlfn.TEXTJOIN("", TRUE, AD295:AH295), _xlfn.TEXTJOIN("", TRUE, AD295:AJ295))</f>
        <v/>
      </c>
      <c r="F295" s="42">
        <f>IF(LEFT(G295,4)="FY26","&lt;b&gt;","&lt;i&gt;")</f>
        <v/>
      </c>
      <c r="G295" s="42" t="inlineStr">
        <is>
          <t>FY27 Enhancement</t>
        </is>
      </c>
      <c r="H295" s="42">
        <f>IF(LEFT(G295,4)="FY26","&lt;/b&gt;","&lt;/i&gt;")</f>
        <v/>
      </c>
      <c r="I295" s="43" t="inlineStr">
        <is>
          <t>&lt;i&gt;</t>
        </is>
      </c>
      <c r="J295" s="44" t="inlineStr">
        <is>
          <t>Constitutional Officers</t>
        </is>
      </c>
      <c r="K295" s="44" t="inlineStr">
        <is>
          <t>&lt;/i&gt;</t>
        </is>
      </c>
      <c r="L295" s="4">
        <f>IF(ISBLANK(N295),"","&lt;br&gt;")</f>
        <v/>
      </c>
      <c r="M295" s="42">
        <f>IF(ISBLANK(R295),"&lt;b&gt;","&lt;i&gt;")</f>
        <v/>
      </c>
      <c r="N295" s="42" t="inlineStr">
        <is>
          <t>Attorney General</t>
        </is>
      </c>
      <c r="O295" s="42">
        <f>IF(ISBLANK(R295),"&lt;/b&gt;","&lt;/i&gt;")</f>
        <v/>
      </c>
      <c r="P295" s="4">
        <f>IF(ISBLANK(R295),"","&lt;br&gt;")</f>
        <v/>
      </c>
      <c r="Q295" s="42">
        <f>IF(ISBLANK(R295),"","&lt;b&gt;")</f>
        <v/>
      </c>
      <c r="R295" s="42" t="n"/>
      <c r="S295" s="42">
        <f>IF(ISBLANK(R295),"","&lt;/i&gt;")</f>
        <v/>
      </c>
      <c r="T295" s="42">
        <f>IF(ISBLANK(X295),"",IF(OR(AB295="PASSED",ISBLANK(N295)),"&lt;b&gt;","&lt;i&gt;"))</f>
        <v/>
      </c>
      <c r="U295" s="3">
        <f>IF(ISBLANK(V295),"","&lt;a href='")</f>
        <v/>
      </c>
      <c r="V295" s="56" t="n"/>
      <c r="W295" s="17">
        <f>IF(ISBLANK(V295),"","'&gt;")</f>
        <v/>
      </c>
      <c r="X295" s="42" t="n"/>
      <c r="Y295" s="17">
        <f>IF(ISBLANK(X295),"","&lt;/a&gt;")</f>
        <v/>
      </c>
      <c r="Z295" s="42">
        <f>IF(ISBLANK(X295),"",IF(OR(AB295="PASSED",ISBLANK(N295)),"&lt;/b&gt;","&lt;/i&gt;"))</f>
        <v/>
      </c>
      <c r="AA295" s="43">
        <f>IF(AB295="PASSED","&lt;b&gt;","")</f>
        <v/>
      </c>
      <c r="AB295" s="45" t="inlineStr">
        <is>
          <t>—</t>
        </is>
      </c>
      <c r="AC295" s="43">
        <f>IF(AB295="PASSED","&lt;/b&gt;","")</f>
        <v/>
      </c>
      <c r="AD295" s="43">
        <f>IF(ISBLANK(AE295),"","&lt;b&gt;")</f>
        <v/>
      </c>
      <c r="AE295" s="51" t="inlineStr">
        <is>
          <t>02/25</t>
        </is>
      </c>
      <c r="AF295" s="42">
        <f>IF(ISBLANK(AE295),"",": ")</f>
        <v/>
      </c>
      <c r="AG295" s="42" t="inlineStr">
        <is>
          <t>JFAC Budget Hearing</t>
        </is>
      </c>
      <c r="AH295" s="42">
        <f>IF(ISBLANK(AE295),"","&lt;/b&gt;")</f>
        <v/>
      </c>
      <c r="AI295" s="42" t="n"/>
      <c r="AJ295" s="42">
        <f>IF(ISBLANK(AI295),"","&lt;br&gt;"&amp;AI295)</f>
        <v/>
      </c>
      <c r="AK295" s="42" t="n"/>
      <c r="AL295" s="42" t="n"/>
      <c r="AM295" s="42" t="n"/>
      <c r="AN295" s="42">
        <f>IF(ISBLANK(AM295),"","&lt;/i&gt;")</f>
        <v/>
      </c>
      <c r="AO295" s="35">
        <f>IF(ISBLANK(AQ295),"","&lt;/b&gt;&lt;br&gt;&lt;br&gt;")</f>
        <v/>
      </c>
      <c r="AP295" s="42">
        <f>IF(ISBLANK(AQ295),"","&lt;b&gt;")</f>
        <v/>
      </c>
      <c r="AQ295" s="42" t="n"/>
      <c r="AR295" s="4" t="n"/>
      <c r="AS295" s="4">
        <f>IF(ISBLANK(AR295),""," %")</f>
        <v/>
      </c>
      <c r="AT295" s="4">
        <f t="array" ref="AT295">_xlfn.IFS(NOT(ISBLANK(AU295))," (pgs. ",NOT(ISBLANK(AS295))," (pg. ", ISBLANK(AS295), "")</f>
        <v/>
      </c>
      <c r="AU295" s="42" t="n"/>
      <c r="AV295" s="4">
        <f>IF(ISBLANK(AW295),"",", ")</f>
        <v/>
      </c>
      <c r="AW295" s="42" t="n"/>
      <c r="AX295" s="4">
        <f>IF(ISBLANK(AY295),"",",&lt;br&gt;")</f>
        <v/>
      </c>
      <c r="AY295" s="42" t="n"/>
      <c r="AZ295" s="49">
        <f>IF(ISBLANK(AU295),"",")&lt;/b&gt;")</f>
        <v/>
      </c>
      <c r="BA295" s="4">
        <f>IF(ISBLANK(BC295),"","&lt;br&gt;")</f>
        <v/>
      </c>
      <c r="BB295" s="42">
        <f t="array" ref="BB295">IF(ISBLANK(BC295),"",_xlfn.LET(
_xlpm.words,_xlfn.TEXTSPLIT(TRIM(BC295),"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95" s="50" t="n"/>
    </row>
    <row r="296">
      <c r="A296" s="20">
        <f>_xlfn.TEXTJOIN("", TRUE, F296:H296)</f>
        <v/>
      </c>
      <c r="B296" s="21">
        <f>_xlfn.TEXTJOIN("", TRUE, I296:S296)</f>
        <v/>
      </c>
      <c r="C296" s="21">
        <f>IF(ISBLANK(X296),"", _xlfn.TEXTJOIN("",TRUE,T296:Z296))</f>
        <v/>
      </c>
      <c r="D296" s="21">
        <f>IF(ISBLANK(AB296), "", _xlfn.TEXTJOIN("", TRUE, AA296:AC296))</f>
        <v/>
      </c>
      <c r="E296" s="22">
        <f>IF(AU296="NA", _xlfn.TEXTJOIN("", TRUE, AD296:AH296), _xlfn.TEXTJOIN("", TRUE, AD296:AJ296))</f>
        <v/>
      </c>
      <c r="F296" s="42">
        <f>IF(LEFT(G296,4)="FY26","&lt;b&gt;","&lt;i&gt;")</f>
        <v/>
      </c>
      <c r="G296" s="42" t="inlineStr">
        <is>
          <t>FY27 Enhancement</t>
        </is>
      </c>
      <c r="H296" s="42">
        <f>IF(LEFT(G296,4)="FY26","&lt;/b&gt;","&lt;/i&gt;")</f>
        <v/>
      </c>
      <c r="I296" s="43" t="inlineStr">
        <is>
          <t>&lt;i&gt;</t>
        </is>
      </c>
      <c r="J296" s="44" t="inlineStr">
        <is>
          <t>General Government</t>
        </is>
      </c>
      <c r="K296" s="44" t="inlineStr">
        <is>
          <t>&lt;/i&gt;</t>
        </is>
      </c>
      <c r="L296" s="4">
        <f>IF(ISBLANK(N296),"","&lt;br&gt;")</f>
        <v/>
      </c>
      <c r="M296" s="42">
        <f>IF(ISBLANK(R296),"&lt;b&gt;","&lt;i&gt;")</f>
        <v/>
      </c>
      <c r="N296" s="42" t="inlineStr">
        <is>
          <t>Office of the Governor</t>
        </is>
      </c>
      <c r="O296" s="42">
        <f>IF(ISBLANK(R296),"&lt;/b&gt;","&lt;/i&gt;")</f>
        <v/>
      </c>
      <c r="P296" s="4">
        <f>IF(ISBLANK(R296),"","&lt;br&gt;")</f>
        <v/>
      </c>
      <c r="Q296" s="42">
        <f>IF(ISBLANK(R296),"","&lt;b&gt;")</f>
        <v/>
      </c>
      <c r="R296" s="42" t="inlineStr">
        <is>
          <t>Office of Species Conservation</t>
        </is>
      </c>
      <c r="S296" s="42">
        <f>IF(ISBLANK(R296),"","&lt;/i&gt;")</f>
        <v/>
      </c>
      <c r="T296" s="42">
        <f>IF(ISBLANK(X296),"",IF(OR(AB296="PASSED",ISBLANK(N296)),"&lt;b&gt;","&lt;i&gt;"))</f>
        <v/>
      </c>
      <c r="U296" s="3">
        <f>IF(ISBLANK(V296),"","&lt;a href='")</f>
        <v/>
      </c>
      <c r="V296" s="56" t="n"/>
      <c r="W296" s="17">
        <f>IF(ISBLANK(V296),"","'&gt;")</f>
        <v/>
      </c>
      <c r="X296" s="42" t="n"/>
      <c r="Y296" s="17">
        <f>IF(ISBLANK(X296),"","&lt;/a&gt;")</f>
        <v/>
      </c>
      <c r="Z296" s="42">
        <f>IF(ISBLANK(X296),"",IF(OR(AB296="PASSED",ISBLANK(N296)),"&lt;/b&gt;","&lt;/i&gt;"))</f>
        <v/>
      </c>
      <c r="AA296" s="43">
        <f>IF(AB296="PASSED","&lt;b&gt;","")</f>
        <v/>
      </c>
      <c r="AB296" s="45" t="inlineStr">
        <is>
          <t>—</t>
        </is>
      </c>
      <c r="AC296" s="43">
        <f>IF(AB296="PASSED","&lt;/b&gt;","")</f>
        <v/>
      </c>
      <c r="AD296" s="43">
        <f>IF(ISBLANK(AE296),"","&lt;b&gt;")</f>
        <v/>
      </c>
      <c r="AE296" s="51" t="inlineStr">
        <is>
          <t>02/25</t>
        </is>
      </c>
      <c r="AF296" s="42">
        <f>IF(ISBLANK(AE296),"",": ")</f>
        <v/>
      </c>
      <c r="AG296" s="42" t="inlineStr">
        <is>
          <t>JFAC Budget Hearing</t>
        </is>
      </c>
      <c r="AH296" s="42">
        <f>IF(ISBLANK(AE296),"","&lt;/b&gt;")</f>
        <v/>
      </c>
      <c r="AI296" s="42" t="n"/>
      <c r="AJ296" s="42">
        <f>IF(ISBLANK(AI296),"","&lt;br&gt;"&amp;AI296)</f>
        <v/>
      </c>
      <c r="AK296" s="42" t="n"/>
      <c r="AL296" s="42" t="n"/>
      <c r="AM296" s="42" t="n"/>
      <c r="AN296" s="42">
        <f>IF(ISBLANK(AM296),"","&lt;/i&gt;")</f>
        <v/>
      </c>
      <c r="AO296" s="35">
        <f>IF(ISBLANK(AQ296),"","&lt;/b&gt;&lt;br&gt;&lt;br&gt;")</f>
        <v/>
      </c>
      <c r="AP296" s="42">
        <f>IF(ISBLANK(AQ296),"","&lt;b&gt;")</f>
        <v/>
      </c>
      <c r="AQ296" s="42" t="n"/>
      <c r="AR296" s="4" t="n"/>
      <c r="AS296" s="4">
        <f>IF(ISBLANK(AR296),""," %")</f>
        <v/>
      </c>
      <c r="AT296" s="4">
        <f t="array" ref="AT296">_xlfn.IFS(NOT(ISBLANK(AU296))," (pgs. ",NOT(ISBLANK(AS296))," (pg. ", ISBLANK(AS296), "")</f>
        <v/>
      </c>
      <c r="AU296" s="42" t="n"/>
      <c r="AV296" s="4">
        <f>IF(ISBLANK(AW296),"",", ")</f>
        <v/>
      </c>
      <c r="AW296" s="42" t="n"/>
      <c r="AX296" s="4">
        <f>IF(ISBLANK(AY296),"",",&lt;br&gt;")</f>
        <v/>
      </c>
      <c r="AY296" s="42" t="n"/>
      <c r="AZ296" s="49">
        <f>IF(ISBLANK(AU296),"",")&lt;/b&gt;")</f>
        <v/>
      </c>
      <c r="BA296" s="4">
        <f>IF(ISBLANK(BC296),"","&lt;br&gt;")</f>
        <v/>
      </c>
      <c r="BB296" s="42">
        <f t="array" ref="BB296">IF(ISBLANK(BC296),"",_xlfn.LET(
_xlpm.words,_xlfn.TEXTSPLIT(TRIM(BC296),"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96" s="50" t="n"/>
    </row>
    <row r="297">
      <c r="A297" s="20">
        <f>_xlfn.TEXTJOIN("", TRUE, F297:H297)</f>
        <v/>
      </c>
      <c r="B297" s="21">
        <f>_xlfn.TEXTJOIN("", TRUE, I297:S297)</f>
        <v/>
      </c>
      <c r="C297" s="21">
        <f>IF(ISBLANK(X297),"", _xlfn.TEXTJOIN("",TRUE,T297:Z297))</f>
        <v/>
      </c>
      <c r="D297" s="21">
        <f>IF(ISBLANK(AB297), "", _xlfn.TEXTJOIN("", TRUE, AA297:AC297))</f>
        <v/>
      </c>
      <c r="E297" s="22">
        <f>IF(AU297="NA", _xlfn.TEXTJOIN("", TRUE, AD297:AH297), _xlfn.TEXTJOIN("", TRUE, AD297:AJ297))</f>
        <v/>
      </c>
      <c r="F297" s="42">
        <f>IF(LEFT(G297,4)="FY26","&lt;b&gt;","&lt;i&gt;")</f>
        <v/>
      </c>
      <c r="G297" s="42" t="inlineStr">
        <is>
          <t>FY27 Enhancement</t>
        </is>
      </c>
      <c r="H297" s="42">
        <f>IF(LEFT(G297,4)="FY26","&lt;/b&gt;","&lt;/i&gt;")</f>
        <v/>
      </c>
      <c r="I297" s="43" t="inlineStr">
        <is>
          <t>&lt;i&gt;</t>
        </is>
      </c>
      <c r="J297" s="44" t="inlineStr">
        <is>
          <t>Economic Development</t>
        </is>
      </c>
      <c r="K297" s="44" t="inlineStr">
        <is>
          <t>&lt;/i&gt;</t>
        </is>
      </c>
      <c r="L297" s="4">
        <f>IF(ISBLANK(N297),"","&lt;br&gt;")</f>
        <v/>
      </c>
      <c r="M297" s="42">
        <f>IF(ISBLANK(R297),"&lt;b&gt;","&lt;i&gt;")</f>
        <v/>
      </c>
      <c r="N297" s="42" t="inlineStr">
        <is>
          <t>Dept. of Self-Governing Agencies</t>
        </is>
      </c>
      <c r="O297" s="42">
        <f>IF(ISBLANK(R297),"&lt;/b&gt;","&lt;/i&gt;")</f>
        <v/>
      </c>
      <c r="P297" s="4">
        <f>IF(ISBLANK(R297),"","&lt;br&gt;")</f>
        <v/>
      </c>
      <c r="Q297" s="42">
        <f>IF(ISBLANK(R297),"","&lt;b&gt;")</f>
        <v/>
      </c>
      <c r="R297" s="42" t="inlineStr">
        <is>
          <t>Div. of Occupational &amp; Professional Licenses</t>
        </is>
      </c>
      <c r="S297" s="42">
        <f>IF(ISBLANK(R297),"","&lt;/i&gt;")</f>
        <v/>
      </c>
      <c r="T297" s="42">
        <f>IF(ISBLANK(X297),"",IF(OR(AB297="PASSED",ISBLANK(N297)),"&lt;b&gt;","&lt;i&gt;"))</f>
        <v/>
      </c>
      <c r="U297" s="3">
        <f>IF(ISBLANK(V297),"","&lt;a href='")</f>
        <v/>
      </c>
      <c r="V297" s="56" t="n"/>
      <c r="W297" s="17">
        <f>IF(ISBLANK(V297),"","'&gt;")</f>
        <v/>
      </c>
      <c r="X297" s="42" t="n"/>
      <c r="Y297" s="17">
        <f>IF(ISBLANK(X297),"","&lt;/a&gt;")</f>
        <v/>
      </c>
      <c r="Z297" s="42">
        <f>IF(ISBLANK(X297),"",IF(OR(AB297="PASSED",ISBLANK(N297)),"&lt;/b&gt;","&lt;/i&gt;"))</f>
        <v/>
      </c>
      <c r="AA297" s="43">
        <f>IF(AB297="PASSED","&lt;b&gt;","")</f>
        <v/>
      </c>
      <c r="AB297" s="45" t="inlineStr">
        <is>
          <t>—</t>
        </is>
      </c>
      <c r="AC297" s="43">
        <f>IF(AB297="PASSED","&lt;/b&gt;","")</f>
        <v/>
      </c>
      <c r="AD297" s="43">
        <f>IF(ISBLANK(AE297),"","&lt;b&gt;")</f>
        <v/>
      </c>
      <c r="AE297" s="51" t="inlineStr">
        <is>
          <t>02/24</t>
        </is>
      </c>
      <c r="AF297" s="42">
        <f>IF(ISBLANK(AE297),"",": ")</f>
        <v/>
      </c>
      <c r="AG297" s="42" t="inlineStr">
        <is>
          <t>JFAC Budget Hearing</t>
        </is>
      </c>
      <c r="AH297" s="42">
        <f>IF(ISBLANK(AE297),"","&lt;/b&gt;")</f>
        <v/>
      </c>
      <c r="AI297" s="42" t="n"/>
      <c r="AJ297" s="42">
        <f>IF(ISBLANK(AI297),"","&lt;br&gt;"&amp;AI297)</f>
        <v/>
      </c>
      <c r="AK297" s="42" t="n"/>
      <c r="AL297" s="42" t="n"/>
      <c r="AM297" s="42" t="n"/>
      <c r="AN297" s="42">
        <f>IF(ISBLANK(AM297),"","&lt;/i&gt;")</f>
        <v/>
      </c>
      <c r="AO297" s="35">
        <f>IF(ISBLANK(AQ297),"","&lt;/b&gt;&lt;br&gt;&lt;br&gt;")</f>
        <v/>
      </c>
      <c r="AP297" s="42">
        <f>IF(ISBLANK(AQ297),"","&lt;b&gt;")</f>
        <v/>
      </c>
      <c r="AQ297" s="42" t="n"/>
      <c r="AR297" s="4" t="n"/>
      <c r="AS297" s="4">
        <f>IF(ISBLANK(AR297),""," %")</f>
        <v/>
      </c>
      <c r="AT297" s="4">
        <f t="array" ref="AT297">_xlfn.IFS(NOT(ISBLANK(AU297))," (pgs. ",NOT(ISBLANK(AS297))," (pg. ", ISBLANK(AS297), "")</f>
        <v/>
      </c>
      <c r="AU297" s="42" t="n"/>
      <c r="AV297" s="4">
        <f>IF(ISBLANK(AW297),"",", ")</f>
        <v/>
      </c>
      <c r="AW297" s="42" t="n"/>
      <c r="AX297" s="4">
        <f>IF(ISBLANK(AY297),"",",&lt;br&gt;")</f>
        <v/>
      </c>
      <c r="AY297" s="42" t="n"/>
      <c r="AZ297" s="49">
        <f>IF(ISBLANK(AU297),"",")&lt;/b&gt;")</f>
        <v/>
      </c>
      <c r="BA297" s="4">
        <f>IF(ISBLANK(BC297),"","&lt;br&gt;")</f>
        <v/>
      </c>
      <c r="BB297" s="42">
        <f t="array" ref="BB297">IF(ISBLANK(BC297),"",_xlfn.LET(
_xlpm.words,_xlfn.TEXTSPLIT(TRIM(BC297),"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97" s="50" t="n"/>
    </row>
    <row r="298">
      <c r="A298" s="20">
        <f>_xlfn.TEXTJOIN("", TRUE, F298:H298)</f>
        <v/>
      </c>
      <c r="B298" s="21">
        <f>_xlfn.TEXTJOIN("", TRUE, I298:S298)</f>
        <v/>
      </c>
      <c r="C298" s="21">
        <f>IF(ISBLANK(X298),"", _xlfn.TEXTJOIN("",TRUE,T298:Z298))</f>
        <v/>
      </c>
      <c r="D298" s="21">
        <f>IF(ISBLANK(AB298), "", _xlfn.TEXTJOIN("", TRUE, AA298:AC298))</f>
        <v/>
      </c>
      <c r="E298" s="22">
        <f>IF(AU298="NA", _xlfn.TEXTJOIN("", TRUE, AD298:AH298), _xlfn.TEXTJOIN("", TRUE, AD298:AJ298))</f>
        <v/>
      </c>
      <c r="F298" s="42">
        <f>IF(LEFT(G298,4)="FY26","&lt;b&gt;","&lt;i&gt;")</f>
        <v/>
      </c>
      <c r="G298" s="42" t="inlineStr">
        <is>
          <t>FY27 Enhancement</t>
        </is>
      </c>
      <c r="H298" s="42">
        <f>IF(LEFT(G298,4)="FY26","&lt;/b&gt;","&lt;/i&gt;")</f>
        <v/>
      </c>
      <c r="I298" s="43" t="inlineStr">
        <is>
          <t>&lt;i&gt;</t>
        </is>
      </c>
      <c r="J298" s="44" t="inlineStr">
        <is>
          <t>Economic Development</t>
        </is>
      </c>
      <c r="K298" s="44" t="inlineStr">
        <is>
          <t>&lt;/i&gt;</t>
        </is>
      </c>
      <c r="L298" s="4">
        <f>IF(ISBLANK(N298),"","&lt;br&gt;")</f>
        <v/>
      </c>
      <c r="M298" s="42">
        <f>IF(ISBLANK(R298),"&lt;b&gt;","&lt;i&gt;")</f>
        <v/>
      </c>
      <c r="N298" s="42" t="inlineStr">
        <is>
          <t>Dept. of Agriculture</t>
        </is>
      </c>
      <c r="O298" s="42">
        <f>IF(ISBLANK(R298),"&lt;/b&gt;","&lt;/i&gt;")</f>
        <v/>
      </c>
      <c r="P298" s="4">
        <f>IF(ISBLANK(R298),"","&lt;br&gt;")</f>
        <v/>
      </c>
      <c r="Q298" s="42">
        <f>IF(ISBLANK(R298),"","&lt;b&gt;")</f>
        <v/>
      </c>
      <c r="R298" s="42" t="inlineStr">
        <is>
          <t>Soil &amp; Water Conservation Comm.</t>
        </is>
      </c>
      <c r="S298" s="42">
        <f>IF(ISBLANK(R298),"","&lt;/i&gt;")</f>
        <v/>
      </c>
      <c r="T298" s="42">
        <f>IF(ISBLANK(X298),"",IF(OR(AB298="PASSED",ISBLANK(N298)),"&lt;b&gt;","&lt;i&gt;"))</f>
        <v/>
      </c>
      <c r="U298" s="3">
        <f>IF(ISBLANK(V298),"","&lt;a href='")</f>
        <v/>
      </c>
      <c r="V298" s="56" t="n"/>
      <c r="W298" s="17">
        <f>IF(ISBLANK(V298),"","'&gt;")</f>
        <v/>
      </c>
      <c r="X298" s="42" t="n"/>
      <c r="Y298" s="17">
        <f>IF(ISBLANK(X298),"","&lt;/a&gt;")</f>
        <v/>
      </c>
      <c r="Z298" s="42">
        <f>IF(ISBLANK(X298),"",IF(OR(AB298="PASSED",ISBLANK(N298)),"&lt;/b&gt;","&lt;/i&gt;"))</f>
        <v/>
      </c>
      <c r="AA298" s="43">
        <f>IF(AB298="PASSED","&lt;b&gt;","")</f>
        <v/>
      </c>
      <c r="AB298" s="45" t="inlineStr">
        <is>
          <t>—</t>
        </is>
      </c>
      <c r="AC298" s="43">
        <f>IF(AB298="PASSED","&lt;/b&gt;","")</f>
        <v/>
      </c>
      <c r="AD298" s="43">
        <f>IF(ISBLANK(AE298),"","&lt;b&gt;")</f>
        <v/>
      </c>
      <c r="AE298" s="51" t="inlineStr">
        <is>
          <t>02/23</t>
        </is>
      </c>
      <c r="AF298" s="42">
        <f>IF(ISBLANK(AE298),"",": ")</f>
        <v/>
      </c>
      <c r="AG298" s="42" t="inlineStr">
        <is>
          <t>JFAC Budget Hearing</t>
        </is>
      </c>
      <c r="AH298" s="42">
        <f>IF(ISBLANK(AE298),"","&lt;/b&gt;")</f>
        <v/>
      </c>
      <c r="AI298" s="42" t="n"/>
      <c r="AJ298" s="42">
        <f>IF(ISBLANK(AI298),"","&lt;br&gt;"&amp;AI298)</f>
        <v/>
      </c>
      <c r="AK298" s="42" t="n"/>
      <c r="AL298" s="42" t="n"/>
      <c r="AM298" s="42" t="n"/>
      <c r="AN298" s="42">
        <f>IF(ISBLANK(AM298),"","&lt;/i&gt;")</f>
        <v/>
      </c>
      <c r="AO298" s="35">
        <f>IF(ISBLANK(AQ298),"","&lt;/b&gt;&lt;br&gt;&lt;br&gt;")</f>
        <v/>
      </c>
      <c r="AP298" s="42">
        <f>IF(ISBLANK(AQ298),"","&lt;b&gt;")</f>
        <v/>
      </c>
      <c r="AQ298" s="42" t="n"/>
      <c r="AR298" s="4" t="n"/>
      <c r="AS298" s="4">
        <f>IF(ISBLANK(AR298),""," %")</f>
        <v/>
      </c>
      <c r="AT298" s="4">
        <f t="array" ref="AT298">_xlfn.IFS(NOT(ISBLANK(AU298))," (pgs. ",NOT(ISBLANK(AS298))," (pg. ", ISBLANK(AS298), "")</f>
        <v/>
      </c>
      <c r="AU298" s="42" t="n"/>
      <c r="AV298" s="4">
        <f>IF(ISBLANK(AW298),"",", ")</f>
        <v/>
      </c>
      <c r="AW298" s="42" t="n"/>
      <c r="AX298" s="4">
        <f>IF(ISBLANK(AY298),"",",&lt;br&gt;")</f>
        <v/>
      </c>
      <c r="AY298" s="42" t="n"/>
      <c r="AZ298" s="49">
        <f>IF(ISBLANK(AU298),"",")&lt;/b&gt;")</f>
        <v/>
      </c>
      <c r="BA298" s="4">
        <f>IF(ISBLANK(BC298),"","&lt;br&gt;")</f>
        <v/>
      </c>
      <c r="BB298" s="42">
        <f t="array" ref="BB298">IF(ISBLANK(BC298),"",_xlfn.LET(
_xlpm.words,_xlfn.TEXTSPLIT(TRIM(BC298),"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98" s="50" t="n"/>
    </row>
    <row r="299">
      <c r="A299" s="20">
        <f>_xlfn.TEXTJOIN("", TRUE, F299:H299)</f>
        <v/>
      </c>
      <c r="B299" s="21">
        <f>_xlfn.TEXTJOIN("", TRUE, I299:S299)</f>
        <v/>
      </c>
      <c r="C299" s="21">
        <f>IF(ISBLANK(X299),"", _xlfn.TEXTJOIN("",TRUE,T299:Z299))</f>
        <v/>
      </c>
      <c r="D299" s="21">
        <f>IF(ISBLANK(AB299), "", _xlfn.TEXTJOIN("", TRUE, AA299:AC299))</f>
        <v/>
      </c>
      <c r="E299" s="22">
        <f>IF(AU299="NA", _xlfn.TEXTJOIN("", TRUE, AD299:AH299), _xlfn.TEXTJOIN("", TRUE, AD299:AJ299))</f>
        <v/>
      </c>
      <c r="F299" s="42">
        <f>IF(LEFT(G299,4)="FY26","&lt;b&gt;","&lt;i&gt;")</f>
        <v/>
      </c>
      <c r="G299" s="42" t="inlineStr">
        <is>
          <t>FY27 Enhancement</t>
        </is>
      </c>
      <c r="H299" s="42">
        <f>IF(LEFT(G299,4)="FY26","&lt;/b&gt;","&lt;/i&gt;")</f>
        <v/>
      </c>
      <c r="I299" s="43" t="inlineStr">
        <is>
          <t>&lt;i&gt;</t>
        </is>
      </c>
      <c r="J299" s="44" t="inlineStr">
        <is>
          <t>Natural Resources</t>
        </is>
      </c>
      <c r="K299" s="44" t="inlineStr">
        <is>
          <t>&lt;/i&gt;</t>
        </is>
      </c>
      <c r="L299" s="4">
        <f>IF(ISBLANK(N299),"","&lt;br&gt;")</f>
        <v/>
      </c>
      <c r="M299" s="42">
        <f>IF(ISBLANK(R299),"&lt;b&gt;","&lt;i&gt;")</f>
        <v/>
      </c>
      <c r="N299" s="42" t="inlineStr">
        <is>
          <t>Dept. of Water Resources</t>
        </is>
      </c>
      <c r="O299" s="42">
        <f>IF(ISBLANK(R299),"&lt;/b&gt;","&lt;/i&gt;")</f>
        <v/>
      </c>
      <c r="P299" s="4">
        <f>IF(ISBLANK(R299),"","&lt;br&gt;")</f>
        <v/>
      </c>
      <c r="Q299" s="42">
        <f>IF(ISBLANK(R299),"","&lt;b&gt;")</f>
        <v/>
      </c>
      <c r="R299" s="42" t="n"/>
      <c r="S299" s="42">
        <f>IF(ISBLANK(R299),"","&lt;/i&gt;")</f>
        <v/>
      </c>
      <c r="T299" s="42">
        <f>IF(ISBLANK(X299),"",IF(OR(AB299="PASSED",ISBLANK(N299)),"&lt;b&gt;","&lt;i&gt;"))</f>
        <v/>
      </c>
      <c r="U299" s="3">
        <f>IF(ISBLANK(V299),"","&lt;a href='")</f>
        <v/>
      </c>
      <c r="V299" s="56" t="n"/>
      <c r="W299" s="17">
        <f>IF(ISBLANK(V299),"","'&gt;")</f>
        <v/>
      </c>
      <c r="X299" s="42" t="n"/>
      <c r="Y299" s="17">
        <f>IF(ISBLANK(X299),"","&lt;/a&gt;")</f>
        <v/>
      </c>
      <c r="Z299" s="42">
        <f>IF(ISBLANK(X299),"",IF(OR(AB299="PASSED",ISBLANK(N299)),"&lt;/b&gt;","&lt;/i&gt;"))</f>
        <v/>
      </c>
      <c r="AA299" s="43">
        <f>IF(AB299="PASSED","&lt;b&gt;","")</f>
        <v/>
      </c>
      <c r="AB299" s="45" t="inlineStr">
        <is>
          <t>—</t>
        </is>
      </c>
      <c r="AC299" s="43">
        <f>IF(AB299="PASSED","&lt;/b&gt;","")</f>
        <v/>
      </c>
      <c r="AD299" s="43">
        <f>IF(ISBLANK(AE299),"","&lt;b&gt;")</f>
        <v/>
      </c>
      <c r="AE299" s="51" t="inlineStr">
        <is>
          <t>02/23</t>
        </is>
      </c>
      <c r="AF299" s="42">
        <f>IF(ISBLANK(AE299),"",": ")</f>
        <v/>
      </c>
      <c r="AG299" s="42" t="inlineStr">
        <is>
          <t>JFAC Budget Hearing</t>
        </is>
      </c>
      <c r="AH299" s="42">
        <f>IF(ISBLANK(AE299),"","&lt;/b&gt;")</f>
        <v/>
      </c>
      <c r="AI299" s="42" t="n"/>
      <c r="AJ299" s="42">
        <f>IF(ISBLANK(AI299),"","&lt;br&gt;"&amp;AI299)</f>
        <v/>
      </c>
      <c r="AK299" s="42" t="n"/>
      <c r="AL299" s="42" t="n"/>
      <c r="AM299" s="42" t="n"/>
      <c r="AN299" s="42">
        <f>IF(ISBLANK(AM299),"","&lt;/i&gt;")</f>
        <v/>
      </c>
      <c r="AO299" s="35">
        <f>IF(ISBLANK(AQ299),"","&lt;/b&gt;&lt;br&gt;&lt;br&gt;")</f>
        <v/>
      </c>
      <c r="AP299" s="42">
        <f>IF(ISBLANK(AQ299),"","&lt;b&gt;")</f>
        <v/>
      </c>
      <c r="AQ299" s="42" t="n"/>
      <c r="AR299" s="4" t="n"/>
      <c r="AS299" s="4">
        <f>IF(ISBLANK(AR299),""," %")</f>
        <v/>
      </c>
      <c r="AT299" s="4">
        <f t="array" ref="AT299">_xlfn.IFS(NOT(ISBLANK(AU299))," (pgs. ",NOT(ISBLANK(AS299))," (pg. ", ISBLANK(AS299), "")</f>
        <v/>
      </c>
      <c r="AU299" s="42" t="n"/>
      <c r="AV299" s="4">
        <f>IF(ISBLANK(AW299),"",", ")</f>
        <v/>
      </c>
      <c r="AW299" s="42" t="n"/>
      <c r="AX299" s="4">
        <f>IF(ISBLANK(AY299),"",",&lt;br&gt;")</f>
        <v/>
      </c>
      <c r="AY299" s="42" t="n"/>
      <c r="AZ299" s="49">
        <f>IF(ISBLANK(AU299),"",")&lt;/b&gt;")</f>
        <v/>
      </c>
      <c r="BA299" s="4">
        <f>IF(ISBLANK(BC299),"","&lt;br&gt;")</f>
        <v/>
      </c>
      <c r="BB299" s="42">
        <f t="array" ref="BB299">IF(ISBLANK(BC299),"",_xlfn.LET(
_xlpm.words,_xlfn.TEXTSPLIT(TRIM(BC299),"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299" s="50" t="n"/>
    </row>
    <row r="300">
      <c r="A300" s="20">
        <f>_xlfn.TEXTJOIN("", TRUE, F300:H300)</f>
        <v/>
      </c>
      <c r="B300" s="21">
        <f>_xlfn.TEXTJOIN("", TRUE, I300:S300)</f>
        <v/>
      </c>
      <c r="C300" s="21">
        <f>IF(ISBLANK(X300),"", _xlfn.TEXTJOIN("",TRUE,T300:Z300))</f>
        <v/>
      </c>
      <c r="D300" s="21">
        <f>IF(ISBLANK(AB300), "", _xlfn.TEXTJOIN("", TRUE, AA300:AC300))</f>
        <v/>
      </c>
      <c r="E300" s="22">
        <f>IF(AU300="NA", _xlfn.TEXTJOIN("", TRUE, AD300:AH300), _xlfn.TEXTJOIN("", TRUE, AD300:AJ300))</f>
        <v/>
      </c>
      <c r="F300" s="42">
        <f>IF(LEFT(G300,4)="FY26","&lt;b&gt;","&lt;i&gt;")</f>
        <v/>
      </c>
      <c r="G300" s="42" t="inlineStr">
        <is>
          <t>FY27 Enhancement</t>
        </is>
      </c>
      <c r="H300" s="42">
        <f>IF(LEFT(G300,4)="FY26","&lt;/b&gt;","&lt;/i&gt;")</f>
        <v/>
      </c>
      <c r="I300" s="43" t="inlineStr">
        <is>
          <t>&lt;i&gt;</t>
        </is>
      </c>
      <c r="J300" s="44" t="inlineStr">
        <is>
          <t>General Government</t>
        </is>
      </c>
      <c r="K300" s="44" t="inlineStr">
        <is>
          <t>&lt;/i&gt;</t>
        </is>
      </c>
      <c r="L300" s="4">
        <f>IF(ISBLANK(N300),"","&lt;br&gt;")</f>
        <v/>
      </c>
      <c r="M300" s="42">
        <f>IF(ISBLANK(R300),"&lt;b&gt;","&lt;i&gt;")</f>
        <v/>
      </c>
      <c r="N300" s="42" t="inlineStr">
        <is>
          <t>Office of the Governor</t>
        </is>
      </c>
      <c r="O300" s="42">
        <f>IF(ISBLANK(R300),"&lt;/b&gt;","&lt;/i&gt;")</f>
        <v/>
      </c>
      <c r="P300" s="4">
        <f>IF(ISBLANK(R300),"","&lt;br&gt;")</f>
        <v/>
      </c>
      <c r="Q300" s="42">
        <f>IF(ISBLANK(R300),"","&lt;b&gt;")</f>
        <v/>
      </c>
      <c r="R300" s="42" t="inlineStr">
        <is>
          <t>Office of Energy &amp; Mineral Resources</t>
        </is>
      </c>
      <c r="S300" s="42">
        <f>IF(ISBLANK(R300),"","&lt;/i&gt;")</f>
        <v/>
      </c>
      <c r="T300" s="42">
        <f>IF(ISBLANK(X300),"",IF(OR(AB300="PASSED",ISBLANK(N300)),"&lt;b&gt;","&lt;i&gt;"))</f>
        <v/>
      </c>
      <c r="U300" s="3">
        <f>IF(ISBLANK(V300),"","&lt;a href='")</f>
        <v/>
      </c>
      <c r="V300" s="56" t="n"/>
      <c r="W300" s="17">
        <f>IF(ISBLANK(V300),"","'&gt;")</f>
        <v/>
      </c>
      <c r="X300" s="42" t="n"/>
      <c r="Y300" s="17">
        <f>IF(ISBLANK(X300),"","&lt;/a&gt;")</f>
        <v/>
      </c>
      <c r="Z300" s="42">
        <f>IF(ISBLANK(X300),"",IF(OR(AB300="PASSED",ISBLANK(N300)),"&lt;/b&gt;","&lt;/i&gt;"))</f>
        <v/>
      </c>
      <c r="AA300" s="43">
        <f>IF(AB300="PASSED","&lt;b&gt;","")</f>
        <v/>
      </c>
      <c r="AB300" s="45" t="inlineStr">
        <is>
          <t>—</t>
        </is>
      </c>
      <c r="AC300" s="43">
        <f>IF(AB300="PASSED","&lt;/b&gt;","")</f>
        <v/>
      </c>
      <c r="AD300" s="43">
        <f>IF(ISBLANK(AE300),"","&lt;b&gt;")</f>
        <v/>
      </c>
      <c r="AE300" s="51" t="inlineStr">
        <is>
          <t>02/12</t>
        </is>
      </c>
      <c r="AF300" s="42">
        <f>IF(ISBLANK(AE300),"",": ")</f>
        <v/>
      </c>
      <c r="AG300" s="42" t="inlineStr">
        <is>
          <t>JFAC Budget Hearing</t>
        </is>
      </c>
      <c r="AH300" s="42">
        <f>IF(ISBLANK(AE300),"","&lt;/b&gt;")</f>
        <v/>
      </c>
      <c r="AI300" s="42" t="n"/>
      <c r="AJ300" s="42">
        <f>IF(ISBLANK(AI300),"","&lt;br&gt;"&amp;AI300)</f>
        <v/>
      </c>
      <c r="AK300" s="42" t="n"/>
      <c r="AL300" s="42" t="n"/>
      <c r="AM300" s="42" t="n"/>
      <c r="AN300" s="42">
        <f>IF(ISBLANK(AM300),"","&lt;/i&gt;")</f>
        <v/>
      </c>
      <c r="AO300" s="35">
        <f>IF(ISBLANK(AQ300),"","&lt;/b&gt;&lt;br&gt;&lt;br&gt;")</f>
        <v/>
      </c>
      <c r="AP300" s="42">
        <f>IF(ISBLANK(AQ300),"","&lt;b&gt;")</f>
        <v/>
      </c>
      <c r="AQ300" s="42" t="n"/>
      <c r="AR300" s="4" t="n"/>
      <c r="AS300" s="4">
        <f>IF(ISBLANK(AR300),""," %")</f>
        <v/>
      </c>
      <c r="AT300" s="4">
        <f t="array" ref="AT300">_xlfn.IFS(NOT(ISBLANK(AU300))," (pgs. ",NOT(ISBLANK(AS300))," (pg. ", ISBLANK(AS300), "")</f>
        <v/>
      </c>
      <c r="AU300" s="42" t="n"/>
      <c r="AV300" s="4">
        <f>IF(ISBLANK(AW300),"",", ")</f>
        <v/>
      </c>
      <c r="AW300" s="42" t="n"/>
      <c r="AX300" s="4">
        <f>IF(ISBLANK(AY300),"",",&lt;br&gt;")</f>
        <v/>
      </c>
      <c r="AY300" s="42" t="n"/>
      <c r="AZ300" s="49">
        <f>IF(ISBLANK(AU300),"",")&lt;/b&gt;")</f>
        <v/>
      </c>
      <c r="BA300" s="4">
        <f>IF(ISBLANK(BC300),"","&lt;br&gt;")</f>
        <v/>
      </c>
      <c r="BB300" s="42">
        <f t="array" ref="BB300">IF(ISBLANK(BC300),"",_xlfn.LET(
_xlpm.words,_xlfn.TEXTSPLIT(TRIM(BC300),"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00" s="50" t="n"/>
    </row>
    <row r="301">
      <c r="A301" s="20">
        <f>_xlfn.TEXTJOIN("", TRUE, F301:H301)</f>
        <v/>
      </c>
      <c r="B301" s="21">
        <f>_xlfn.TEXTJOIN("", TRUE, I301:S301)</f>
        <v/>
      </c>
      <c r="C301" s="21">
        <f>IF(ISBLANK(X301),"", _xlfn.TEXTJOIN("",TRUE,T301:Z301))</f>
        <v/>
      </c>
      <c r="D301" s="21">
        <f>IF(ISBLANK(AB301), "", _xlfn.TEXTJOIN("", TRUE, AA301:AC301))</f>
        <v/>
      </c>
      <c r="E301" s="22">
        <f>IF(AU301="NA", _xlfn.TEXTJOIN("", TRUE, AD301:AH301), _xlfn.TEXTJOIN("", TRUE, AD301:AJ301))</f>
        <v/>
      </c>
      <c r="F301" s="42">
        <f>IF(LEFT(G301,4)="FY26","&lt;b&gt;","&lt;i&gt;")</f>
        <v/>
      </c>
      <c r="G301" s="42" t="inlineStr">
        <is>
          <t>FY27 Enhancement</t>
        </is>
      </c>
      <c r="H301" s="42">
        <f>IF(LEFT(G301,4)="FY26","&lt;/b&gt;","&lt;/i&gt;")</f>
        <v/>
      </c>
      <c r="I301" s="43" t="inlineStr">
        <is>
          <t>&lt;i&gt;</t>
        </is>
      </c>
      <c r="J301" s="44" t="inlineStr">
        <is>
          <t>General Government</t>
        </is>
      </c>
      <c r="K301" s="44" t="inlineStr">
        <is>
          <t>&lt;/i&gt;</t>
        </is>
      </c>
      <c r="L301" s="4">
        <f>IF(ISBLANK(N301),"","&lt;br&gt;")</f>
        <v/>
      </c>
      <c r="M301" s="42">
        <f>IF(ISBLANK(R301),"&lt;b&gt;","&lt;i&gt;")</f>
        <v/>
      </c>
      <c r="N301" s="42" t="inlineStr">
        <is>
          <t>Office of the Governor</t>
        </is>
      </c>
      <c r="O301" s="42">
        <f>IF(ISBLANK(R301),"&lt;/b&gt;","&lt;/i&gt;")</f>
        <v/>
      </c>
      <c r="P301" s="4">
        <f>IF(ISBLANK(R301),"","&lt;br&gt;")</f>
        <v/>
      </c>
      <c r="Q301" s="42">
        <f>IF(ISBLANK(R301),"","&lt;b&gt;")</f>
        <v/>
      </c>
      <c r="R301" s="42" t="inlineStr">
        <is>
          <t>Workforce Development Council</t>
        </is>
      </c>
      <c r="S301" s="42">
        <f>IF(ISBLANK(R301),"","&lt;/i&gt;")</f>
        <v/>
      </c>
      <c r="T301" s="42">
        <f>IF(ISBLANK(X301),"",IF(OR(AB301="PASSED",ISBLANK(N301)),"&lt;b&gt;","&lt;i&gt;"))</f>
        <v/>
      </c>
      <c r="U301" s="3">
        <f>IF(ISBLANK(V301),"","&lt;a href='")</f>
        <v/>
      </c>
      <c r="V301" s="56" t="n"/>
      <c r="W301" s="17">
        <f>IF(ISBLANK(V301),"","'&gt;")</f>
        <v/>
      </c>
      <c r="X301" s="42" t="n"/>
      <c r="Y301" s="17">
        <f>IF(ISBLANK(X301),"","&lt;/a&gt;")</f>
        <v/>
      </c>
      <c r="Z301" s="42">
        <f>IF(ISBLANK(X301),"",IF(OR(AB301="PASSED",ISBLANK(N301)),"&lt;/b&gt;","&lt;/i&gt;"))</f>
        <v/>
      </c>
      <c r="AA301" s="43">
        <f>IF(AB301="PASSED","&lt;b&gt;","")</f>
        <v/>
      </c>
      <c r="AB301" s="45" t="inlineStr">
        <is>
          <t>—</t>
        </is>
      </c>
      <c r="AC301" s="43">
        <f>IF(AB301="PASSED","&lt;/b&gt;","")</f>
        <v/>
      </c>
      <c r="AD301" s="43">
        <f>IF(ISBLANK(AE301),"","&lt;b&gt;")</f>
        <v/>
      </c>
      <c r="AE301" s="51" t="inlineStr">
        <is>
          <t>02/10</t>
        </is>
      </c>
      <c r="AF301" s="42">
        <f>IF(ISBLANK(AE301),"",": ")</f>
        <v/>
      </c>
      <c r="AG301" s="42" t="inlineStr">
        <is>
          <t>JFAC Budget Hearing</t>
        </is>
      </c>
      <c r="AH301" s="42">
        <f>IF(ISBLANK(AE301),"","&lt;/b&gt;")</f>
        <v/>
      </c>
      <c r="AI301" s="42" t="n"/>
      <c r="AJ301" s="42">
        <f>IF(ISBLANK(AI301),"","&lt;br&gt;"&amp;AI301)</f>
        <v/>
      </c>
      <c r="AK301" s="42" t="n"/>
      <c r="AL301" s="42" t="n"/>
      <c r="AM301" s="42" t="n"/>
      <c r="AN301" s="42">
        <f>IF(ISBLANK(AM301),"","&lt;/i&gt;")</f>
        <v/>
      </c>
      <c r="AO301" s="35">
        <f>IF(ISBLANK(AQ301),"","&lt;/b&gt;&lt;br&gt;&lt;br&gt;")</f>
        <v/>
      </c>
      <c r="AP301" s="42">
        <f>IF(ISBLANK(AQ301),"","&lt;b&gt;")</f>
        <v/>
      </c>
      <c r="AQ301" s="42" t="n"/>
      <c r="AR301" s="4" t="n"/>
      <c r="AS301" s="4">
        <f>IF(ISBLANK(AR301),""," %")</f>
        <v/>
      </c>
      <c r="AT301" s="4">
        <f t="array" ref="AT301">_xlfn.IFS(NOT(ISBLANK(AU301))," (pgs. ",NOT(ISBLANK(AS301))," (pg. ", ISBLANK(AS301), "")</f>
        <v/>
      </c>
      <c r="AU301" s="42" t="n"/>
      <c r="AV301" s="4">
        <f>IF(ISBLANK(AW301),"",", ")</f>
        <v/>
      </c>
      <c r="AW301" s="42" t="n"/>
      <c r="AX301" s="4">
        <f>IF(ISBLANK(AY301),"",",&lt;br&gt;")</f>
        <v/>
      </c>
      <c r="AY301" s="42" t="n"/>
      <c r="AZ301" s="49">
        <f>IF(ISBLANK(AU301),"",")&lt;/b&gt;")</f>
        <v/>
      </c>
      <c r="BA301" s="4">
        <f>IF(ISBLANK(BC301),"","&lt;br&gt;")</f>
        <v/>
      </c>
      <c r="BB301" s="42">
        <f t="array" ref="BB301">IF(ISBLANK(BC301),"",_xlfn.LET(
_xlpm.words,_xlfn.TEXTSPLIT(TRIM(BC301),"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01" s="50" t="n"/>
    </row>
    <row r="302">
      <c r="A302" s="20">
        <f>_xlfn.TEXTJOIN("", TRUE, F302:H302)</f>
        <v/>
      </c>
      <c r="B302" s="21">
        <f>_xlfn.TEXTJOIN("", TRUE, I302:S302)</f>
        <v/>
      </c>
      <c r="C302" s="21">
        <f>IF(ISBLANK(X302),"", _xlfn.TEXTJOIN("",TRUE,T302:Z302))</f>
        <v/>
      </c>
      <c r="D302" s="21">
        <f>IF(ISBLANK(AB302), "", _xlfn.TEXTJOIN("", TRUE, AA302:AC302))</f>
        <v/>
      </c>
      <c r="E302" s="22">
        <f>IF(AU302="NA", _xlfn.TEXTJOIN("", TRUE, AD302:AH302), _xlfn.TEXTJOIN("", TRUE, AD302:AJ302))</f>
        <v/>
      </c>
      <c r="F302" s="42">
        <f>IF(LEFT(G302,4)="FY26","&lt;b&gt;","&lt;i&gt;")</f>
        <v/>
      </c>
      <c r="G302" s="42" t="inlineStr">
        <is>
          <t>FY27 Enhancement</t>
        </is>
      </c>
      <c r="H302" s="42">
        <f>IF(LEFT(G302,4)="FY26","&lt;/b&gt;","&lt;/i&gt;")</f>
        <v/>
      </c>
      <c r="I302" s="43" t="inlineStr">
        <is>
          <t>&lt;i&gt;</t>
        </is>
      </c>
      <c r="J302" s="44" t="inlineStr">
        <is>
          <t>Public Safety</t>
        </is>
      </c>
      <c r="K302" s="44" t="inlineStr">
        <is>
          <t>&lt;/i&gt;</t>
        </is>
      </c>
      <c r="L302" s="4">
        <f>IF(ISBLANK(N302),"","&lt;br&gt;")</f>
        <v/>
      </c>
      <c r="M302" s="42">
        <f>IF(ISBLANK(R302),"&lt;b&gt;","&lt;i&gt;")</f>
        <v/>
      </c>
      <c r="N302" s="42" t="inlineStr">
        <is>
          <t>Dept. of Correction</t>
        </is>
      </c>
      <c r="O302" s="42">
        <f>IF(ISBLANK(R302),"&lt;/b&gt;","&lt;/i&gt;")</f>
        <v/>
      </c>
      <c r="P302" s="4">
        <f>IF(ISBLANK(R302),"","&lt;br&gt;")</f>
        <v/>
      </c>
      <c r="Q302" s="42">
        <f>IF(ISBLANK(R302),"","&lt;b&gt;")</f>
        <v/>
      </c>
      <c r="R302" s="42" t="inlineStr">
        <is>
          <t>Community-Based SUDS Treatment</t>
        </is>
      </c>
      <c r="S302" s="42">
        <f>IF(ISBLANK(R302),"","&lt;/i&gt;")</f>
        <v/>
      </c>
      <c r="T302" s="42">
        <f>IF(ISBLANK(X302),"",IF(OR(AB302="PASSED",ISBLANK(N302)),"&lt;b&gt;","&lt;i&gt;"))</f>
        <v/>
      </c>
      <c r="U302" s="3">
        <f>IF(ISBLANK(V302),"","&lt;a href='")</f>
        <v/>
      </c>
      <c r="V302" s="42" t="n"/>
      <c r="W302" s="17">
        <f>IF(ISBLANK(V302),"","'&gt;")</f>
        <v/>
      </c>
      <c r="X302" s="42" t="n"/>
      <c r="Y302" s="17">
        <f>IF(ISBLANK(X302),"","&lt;/a&gt;")</f>
        <v/>
      </c>
      <c r="Z302" s="42">
        <f>IF(ISBLANK(X302),"",IF(OR(AB302="PASSED",ISBLANK(N302)),"&lt;/b&gt;","&lt;/i&gt;"))</f>
        <v/>
      </c>
      <c r="AA302" s="43">
        <f>IF(AB302="PASSED","&lt;b&gt;","")</f>
        <v/>
      </c>
      <c r="AB302" s="45" t="inlineStr">
        <is>
          <t>—</t>
        </is>
      </c>
      <c r="AC302" s="43">
        <f>IF(AB302="PASSED","&lt;/b&gt;","")</f>
        <v/>
      </c>
      <c r="AD302" s="43">
        <f>IF(ISBLANK(AE302),"","&lt;b&gt;")</f>
        <v/>
      </c>
      <c r="AE302" s="51" t="inlineStr">
        <is>
          <t>01/26</t>
        </is>
      </c>
      <c r="AF302" s="42">
        <f>IF(ISBLANK(AE302),"",": ")</f>
        <v/>
      </c>
      <c r="AG302" s="42" t="inlineStr">
        <is>
          <t>JFAC Budget Hearing</t>
        </is>
      </c>
      <c r="AH302" s="42">
        <f>IF(ISBLANK(AE302),"","&lt;/b&gt;")</f>
        <v/>
      </c>
      <c r="AI302" s="42" t="n"/>
      <c r="AJ302" s="42">
        <f>IF(ISBLANK(AI302),"","&lt;br&gt;"&amp;AI302)</f>
        <v/>
      </c>
      <c r="AK302" s="42" t="n"/>
      <c r="AL302" s="42" t="n"/>
      <c r="AM302" s="42" t="n"/>
      <c r="AN302" s="42">
        <f>IF(ISBLANK(AM302),"","&lt;/i&gt;")</f>
        <v/>
      </c>
      <c r="AO302" s="35">
        <f>IF(ISBLANK(AQ302),"","&lt;/b&gt;&lt;br&gt;&lt;br&gt;")</f>
        <v/>
      </c>
      <c r="AP302" s="42">
        <f>IF(ISBLANK(AQ302),"","&lt;b&gt;")</f>
        <v/>
      </c>
      <c r="AQ302" s="42" t="n"/>
      <c r="AR302" s="4" t="n"/>
      <c r="AS302" s="4">
        <f>IF(ISBLANK(AR302),""," %")</f>
        <v/>
      </c>
      <c r="AT302" s="4">
        <f t="array" ref="AT302">_xlfn.IFS(NOT(ISBLANK(AU302))," (pgs. ",NOT(ISBLANK(AS302))," (pg. ", ISBLANK(AS302), "")</f>
        <v/>
      </c>
      <c r="AU302" s="42" t="n"/>
      <c r="AV302" s="4">
        <f>IF(ISBLANK(AW302),"",", ")</f>
        <v/>
      </c>
      <c r="AW302" s="42" t="n"/>
      <c r="AX302" s="4">
        <f>IF(ISBLANK(AY302),"",",&lt;br&gt;")</f>
        <v/>
      </c>
      <c r="AY302" s="42" t="n"/>
      <c r="AZ302" s="49">
        <f>IF(ISBLANK(AU302),"",")&lt;/b&gt;")</f>
        <v/>
      </c>
      <c r="BA302" s="4">
        <f>IF(ISBLANK(BC302),"","&lt;br&gt;")</f>
        <v/>
      </c>
      <c r="BB302" s="42">
        <f t="array" ref="BB302">IF(ISBLANK(BC302),"",_xlfn.LET(
_xlpm.words,_xlfn.TEXTSPLIT(TRIM(BC302),"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02" s="50" t="n"/>
    </row>
    <row r="303">
      <c r="A303" s="20">
        <f>_xlfn.TEXTJOIN("", TRUE, F303:H303)</f>
        <v/>
      </c>
      <c r="B303" s="21">
        <f>_xlfn.TEXTJOIN("", TRUE, I303:S303)</f>
        <v/>
      </c>
      <c r="C303" s="21">
        <f>IF(ISBLANK(X303),"", _xlfn.TEXTJOIN("",TRUE,T303:Z303))</f>
        <v/>
      </c>
      <c r="D303" s="21">
        <f>IF(ISBLANK(AB303), "", _xlfn.TEXTJOIN("", TRUE, AA303:AC303))</f>
        <v/>
      </c>
      <c r="E303" s="22">
        <f>IF(AU303="NA", _xlfn.TEXTJOIN("", TRUE, AD303:AH303), _xlfn.TEXTJOIN("", TRUE, AD303:AJ303))</f>
        <v/>
      </c>
      <c r="F303" s="42">
        <f>IF(LEFT(G303,4)="FY26","&lt;b&gt;","&lt;i&gt;")</f>
        <v/>
      </c>
      <c r="G303" s="42" t="inlineStr">
        <is>
          <t>FY27 Enhancement</t>
        </is>
      </c>
      <c r="H303" s="42">
        <f>IF(LEFT(G303,4)="FY26","&lt;/b&gt;","&lt;/i&gt;")</f>
        <v/>
      </c>
      <c r="I303" s="43" t="inlineStr">
        <is>
          <t>&lt;i&gt;</t>
        </is>
      </c>
      <c r="J303" s="44" t="inlineStr">
        <is>
          <t>Public Schools</t>
        </is>
      </c>
      <c r="K303" s="44" t="inlineStr">
        <is>
          <t>&lt;/i&gt;</t>
        </is>
      </c>
      <c r="L303" s="4">
        <f>IF(ISBLANK(N303),"","&lt;br&gt;")</f>
        <v/>
      </c>
      <c r="M303" s="42">
        <f>IF(ISBLANK(R303),"&lt;b&gt;","&lt;i&gt;")</f>
        <v/>
      </c>
      <c r="N303" s="42" t="inlineStr">
        <is>
          <t>Administrators</t>
        </is>
      </c>
      <c r="O303" s="42">
        <f>IF(ISBLANK(R303),"&lt;/b&gt;","&lt;/i&gt;")</f>
        <v/>
      </c>
      <c r="P303" s="4">
        <f>IF(ISBLANK(R303),"","&lt;br&gt;")</f>
        <v/>
      </c>
      <c r="Q303" s="42">
        <f>IF(ISBLANK(R303),"","&lt;b&gt;")</f>
        <v/>
      </c>
      <c r="R303" s="42" t="n"/>
      <c r="S303" s="42">
        <f>IF(ISBLANK(R303),"","&lt;/i&gt;")</f>
        <v/>
      </c>
      <c r="T303" s="42">
        <f>IF(ISBLANK(X303),"",IF(OR(AB303="PASSED",ISBLANK(N303)),"&lt;b&gt;","&lt;i&gt;"))</f>
        <v/>
      </c>
      <c r="U303" s="3">
        <f>IF(ISBLANK(V303),"","&lt;a href='")</f>
        <v/>
      </c>
      <c r="V303" s="42" t="n"/>
      <c r="W303" s="17">
        <f>IF(ISBLANK(V303),"","'&gt;")</f>
        <v/>
      </c>
      <c r="X303" s="42" t="n"/>
      <c r="Y303" s="17">
        <f>IF(ISBLANK(X303),"","&lt;/a&gt;")</f>
        <v/>
      </c>
      <c r="Z303" s="42">
        <f>IF(ISBLANK(X303),"",IF(OR(AB303="PASSED",ISBLANK(N303)),"&lt;/b&gt;","&lt;/i&gt;"))</f>
        <v/>
      </c>
      <c r="AA303" s="43">
        <f>IF(AB303="PASSED","&lt;b&gt;","")</f>
        <v/>
      </c>
      <c r="AB303" s="45" t="inlineStr">
        <is>
          <t>—</t>
        </is>
      </c>
      <c r="AC303" s="43">
        <f>IF(AB303="PASSED","&lt;/b&gt;","")</f>
        <v/>
      </c>
      <c r="AD303" s="43">
        <f>IF(ISBLANK(AE303),"","&lt;b&gt;")</f>
        <v/>
      </c>
      <c r="AE303" s="51" t="inlineStr">
        <is>
          <t>01/21</t>
        </is>
      </c>
      <c r="AF303" s="42">
        <f>IF(ISBLANK(AE303),"",": ")</f>
        <v/>
      </c>
      <c r="AG303" s="42" t="inlineStr">
        <is>
          <t>JFAC Budget Hearing</t>
        </is>
      </c>
      <c r="AH303" s="42">
        <f>IF(ISBLANK(AE303),"","&lt;/b&gt;")</f>
        <v/>
      </c>
      <c r="AI303" s="42" t="n"/>
      <c r="AJ303" s="42">
        <f>IF(ISBLANK(AI303),"","&lt;br&gt;"&amp;AI303)</f>
        <v/>
      </c>
      <c r="AK303" s="42" t="n"/>
      <c r="AL303" s="42" t="n"/>
      <c r="AM303" s="42" t="n"/>
      <c r="AN303" s="42">
        <f>IF(ISBLANK(AM303),"","&lt;/i&gt;")</f>
        <v/>
      </c>
      <c r="AO303" s="35">
        <f>IF(ISBLANK(AQ303),"","&lt;/b&gt;&lt;br&gt;&lt;br&gt;")</f>
        <v/>
      </c>
      <c r="AP303" s="42">
        <f>IF(ISBLANK(AQ303),"","&lt;b&gt;")</f>
        <v/>
      </c>
      <c r="AQ303" s="42" t="n"/>
      <c r="AR303" s="4" t="n"/>
      <c r="AS303" s="4">
        <f>IF(ISBLANK(AR303),""," %")</f>
        <v/>
      </c>
      <c r="AT303" s="4">
        <f t="array" ref="AT303">_xlfn.IFS(NOT(ISBLANK(AU303))," (pgs. ",NOT(ISBLANK(AS303))," (pg. ", ISBLANK(AS303), "")</f>
        <v/>
      </c>
      <c r="AU303" s="42" t="n"/>
      <c r="AV303" s="4">
        <f>IF(ISBLANK(AW303),"",", ")</f>
        <v/>
      </c>
      <c r="AW303" s="42" t="n"/>
      <c r="AX303" s="4">
        <f>IF(ISBLANK(AY303),"",",&lt;br&gt;")</f>
        <v/>
      </c>
      <c r="AY303" s="42" t="n"/>
      <c r="AZ303" s="49">
        <f>IF(ISBLANK(AU303),"",")&lt;/b&gt;")</f>
        <v/>
      </c>
      <c r="BA303" s="4">
        <f>IF(ISBLANK(BC303),"","&lt;br&gt;")</f>
        <v/>
      </c>
      <c r="BB303" s="42">
        <f t="array" ref="BB303">IF(ISBLANK(BC303),"",_xlfn.LET(
_xlpm.words,_xlfn.TEXTSPLIT(TRIM(BC303),"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03" s="50" t="n"/>
    </row>
    <row r="304">
      <c r="A304" s="20">
        <f>_xlfn.TEXTJOIN("", TRUE, F304:H304)</f>
        <v/>
      </c>
      <c r="B304" s="21">
        <f>_xlfn.TEXTJOIN("", TRUE, I304:S304)</f>
        <v/>
      </c>
      <c r="C304" s="21">
        <f>IF(ISBLANK(X304),"", _xlfn.TEXTJOIN("",TRUE,T304:Z304))</f>
        <v/>
      </c>
      <c r="D304" s="21">
        <f>IF(ISBLANK(AB304), "", _xlfn.TEXTJOIN("", TRUE, AA304:AC304))</f>
        <v/>
      </c>
      <c r="E304" s="22">
        <f>IF(AU304="NA", _xlfn.TEXTJOIN("", TRUE, AD304:AH304), _xlfn.TEXTJOIN("", TRUE, AD304:AJ304))</f>
        <v/>
      </c>
      <c r="F304" s="42">
        <f>IF(LEFT(G304,4)="FY26","&lt;b&gt;","&lt;i&gt;")</f>
        <v/>
      </c>
      <c r="G304" s="42" t="inlineStr">
        <is>
          <t>FY27 Enhancement</t>
        </is>
      </c>
      <c r="H304" s="42">
        <f>IF(LEFT(G304,4)="FY26","&lt;/b&gt;","&lt;/i&gt;")</f>
        <v/>
      </c>
      <c r="I304" s="43" t="inlineStr">
        <is>
          <t>&lt;i&gt;</t>
        </is>
      </c>
      <c r="J304" s="44" t="inlineStr">
        <is>
          <t>Public Schools</t>
        </is>
      </c>
      <c r="K304" s="44" t="inlineStr">
        <is>
          <t>&lt;/i&gt;</t>
        </is>
      </c>
      <c r="L304" s="4">
        <f>IF(ISBLANK(N304),"","&lt;br&gt;")</f>
        <v/>
      </c>
      <c r="M304" s="42">
        <f>IF(ISBLANK(R304),"&lt;b&gt;","&lt;i&gt;")</f>
        <v/>
      </c>
      <c r="N304" s="42" t="inlineStr">
        <is>
          <t>Central Services</t>
        </is>
      </c>
      <c r="O304" s="42">
        <f>IF(ISBLANK(R304),"&lt;/b&gt;","&lt;/i&gt;")</f>
        <v/>
      </c>
      <c r="P304" s="4">
        <f>IF(ISBLANK(R304),"","&lt;br&gt;")</f>
        <v/>
      </c>
      <c r="Q304" s="42">
        <f>IF(ISBLANK(R304),"","&lt;b&gt;")</f>
        <v/>
      </c>
      <c r="R304" s="42" t="n"/>
      <c r="S304" s="42">
        <f>IF(ISBLANK(R304),"","&lt;/i&gt;")</f>
        <v/>
      </c>
      <c r="T304" s="42">
        <f>IF(ISBLANK(X304),"",IF(OR(AB304="PASSED",ISBLANK(N304)),"&lt;b&gt;","&lt;i&gt;"))</f>
        <v/>
      </c>
      <c r="U304" s="3">
        <f>IF(ISBLANK(V304),"","&lt;a href='")</f>
        <v/>
      </c>
      <c r="V304" s="42" t="n"/>
      <c r="W304" s="17">
        <f>IF(ISBLANK(V304),"","'&gt;")</f>
        <v/>
      </c>
      <c r="X304" s="42" t="n"/>
      <c r="Y304" s="17">
        <f>IF(ISBLANK(X304),"","&lt;/a&gt;")</f>
        <v/>
      </c>
      <c r="Z304" s="42">
        <f>IF(ISBLANK(X304),"",IF(OR(AB304="PASSED",ISBLANK(N304)),"&lt;/b&gt;","&lt;/i&gt;"))</f>
        <v/>
      </c>
      <c r="AA304" s="43">
        <f>IF(AB304="PASSED","&lt;b&gt;","")</f>
        <v/>
      </c>
      <c r="AB304" s="45" t="inlineStr">
        <is>
          <t>—</t>
        </is>
      </c>
      <c r="AC304" s="43">
        <f>IF(AB304="PASSED","&lt;/b&gt;","")</f>
        <v/>
      </c>
      <c r="AD304" s="43">
        <f>IF(ISBLANK(AE304),"","&lt;b&gt;")</f>
        <v/>
      </c>
      <c r="AE304" s="51" t="inlineStr">
        <is>
          <t>01/21</t>
        </is>
      </c>
      <c r="AF304" s="42">
        <f>IF(ISBLANK(AE304),"",": ")</f>
        <v/>
      </c>
      <c r="AG304" s="42" t="inlineStr">
        <is>
          <t>JFAC Budget Hearing</t>
        </is>
      </c>
      <c r="AH304" s="42">
        <f>IF(ISBLANK(AE304),"","&lt;/b&gt;")</f>
        <v/>
      </c>
      <c r="AI304" s="42" t="n"/>
      <c r="AJ304" s="42">
        <f>IF(ISBLANK(AI304),"","&lt;br&gt;"&amp;AI304)</f>
        <v/>
      </c>
      <c r="AK304" s="42" t="n"/>
      <c r="AL304" s="42" t="n"/>
      <c r="AM304" s="42" t="n"/>
      <c r="AN304" s="42">
        <f>IF(ISBLANK(AM304),"","&lt;/i&gt;")</f>
        <v/>
      </c>
      <c r="AO304" s="35">
        <f>IF(ISBLANK(AQ304),"","&lt;/b&gt;&lt;br&gt;&lt;br&gt;")</f>
        <v/>
      </c>
      <c r="AP304" s="42">
        <f>IF(ISBLANK(AQ304),"","&lt;b&gt;")</f>
        <v/>
      </c>
      <c r="AQ304" s="42" t="n"/>
      <c r="AR304" s="4" t="n"/>
      <c r="AS304" s="4">
        <f>IF(ISBLANK(AR304),""," %")</f>
        <v/>
      </c>
      <c r="AT304" s="4">
        <f t="array" ref="AT304">_xlfn.IFS(NOT(ISBLANK(AU304))," (pgs. ",NOT(ISBLANK(AS304))," (pg. ", ISBLANK(AS304), "")</f>
        <v/>
      </c>
      <c r="AU304" s="42" t="n"/>
      <c r="AV304" s="4">
        <f>IF(ISBLANK(AW304),"",", ")</f>
        <v/>
      </c>
      <c r="AW304" s="42" t="n"/>
      <c r="AX304" s="4">
        <f>IF(ISBLANK(AY304),"",",&lt;br&gt;")</f>
        <v/>
      </c>
      <c r="AY304" s="42" t="n"/>
      <c r="AZ304" s="49">
        <f>IF(ISBLANK(AU304),"",")&lt;/b&gt;")</f>
        <v/>
      </c>
      <c r="BA304" s="4">
        <f>IF(ISBLANK(BC304),"","&lt;br&gt;")</f>
        <v/>
      </c>
      <c r="BB304" s="42">
        <f t="array" ref="BB304">IF(ISBLANK(BC304),"",_xlfn.LET(
_xlpm.words,_xlfn.TEXTSPLIT(TRIM(BC304),"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04" s="50" t="n"/>
    </row>
    <row r="305">
      <c r="A305" s="20">
        <f>_xlfn.TEXTJOIN("", TRUE, F305:H305)</f>
        <v/>
      </c>
      <c r="B305" s="21">
        <f>_xlfn.TEXTJOIN("", TRUE, I305:S305)</f>
        <v/>
      </c>
      <c r="C305" s="21">
        <f>IF(ISBLANK(X305),"", _xlfn.TEXTJOIN("",TRUE,T305:Z305))</f>
        <v/>
      </c>
      <c r="D305" s="21">
        <f>IF(ISBLANK(AB305), "", _xlfn.TEXTJOIN("", TRUE, AA305:AC305))</f>
        <v/>
      </c>
      <c r="E305" s="22">
        <f>IF(AU305="NA", _xlfn.TEXTJOIN("", TRUE, AD305:AH305), _xlfn.TEXTJOIN("", TRUE, AD305:AJ305))</f>
        <v/>
      </c>
      <c r="F305" s="42">
        <f>IF(LEFT(G305,4)="FY26","&lt;b&gt;","&lt;i&gt;")</f>
        <v/>
      </c>
      <c r="G305" s="42" t="inlineStr">
        <is>
          <t>FY27 Enhancement</t>
        </is>
      </c>
      <c r="H305" s="42">
        <f>IF(LEFT(G305,4)="FY26","&lt;/b&gt;","&lt;/i&gt;")</f>
        <v/>
      </c>
      <c r="I305" s="43" t="inlineStr">
        <is>
          <t>&lt;i&gt;</t>
        </is>
      </c>
      <c r="J305" s="44" t="inlineStr">
        <is>
          <t>Public Schools</t>
        </is>
      </c>
      <c r="K305" s="44" t="inlineStr">
        <is>
          <t>&lt;/i&gt;</t>
        </is>
      </c>
      <c r="L305" s="4">
        <f>IF(ISBLANK(N305),"","&lt;br&gt;")</f>
        <v/>
      </c>
      <c r="M305" s="42">
        <f>IF(ISBLANK(R305),"&lt;b&gt;","&lt;i&gt;")</f>
        <v/>
      </c>
      <c r="N305" s="42" t="inlineStr">
        <is>
          <t>Children's Programs</t>
        </is>
      </c>
      <c r="O305" s="42">
        <f>IF(ISBLANK(R305),"&lt;/b&gt;","&lt;/i&gt;")</f>
        <v/>
      </c>
      <c r="P305" s="4">
        <f>IF(ISBLANK(R305),"","&lt;br&gt;")</f>
        <v/>
      </c>
      <c r="Q305" s="42">
        <f>IF(ISBLANK(R305),"","&lt;b&gt;")</f>
        <v/>
      </c>
      <c r="R305" s="42" t="n"/>
      <c r="S305" s="42">
        <f>IF(ISBLANK(R305),"","&lt;/i&gt;")</f>
        <v/>
      </c>
      <c r="T305" s="42">
        <f>IF(ISBLANK(X305),"",IF(OR(AB305="PASSED",ISBLANK(N305)),"&lt;b&gt;","&lt;i&gt;"))</f>
        <v/>
      </c>
      <c r="U305" s="3">
        <f>IF(ISBLANK(V305),"","&lt;a href='")</f>
        <v/>
      </c>
      <c r="V305" s="42" t="n"/>
      <c r="W305" s="17">
        <f>IF(ISBLANK(V305),"","'&gt;")</f>
        <v/>
      </c>
      <c r="X305" s="42" t="n"/>
      <c r="Y305" s="17">
        <f>IF(ISBLANK(X305),"","&lt;/a&gt;")</f>
        <v/>
      </c>
      <c r="Z305" s="42">
        <f>IF(ISBLANK(X305),"",IF(OR(AB305="PASSED",ISBLANK(N305)),"&lt;/b&gt;","&lt;/i&gt;"))</f>
        <v/>
      </c>
      <c r="AA305" s="43">
        <f>IF(AB305="PASSED","&lt;b&gt;","")</f>
        <v/>
      </c>
      <c r="AB305" s="45" t="inlineStr">
        <is>
          <t>—</t>
        </is>
      </c>
      <c r="AC305" s="43">
        <f>IF(AB305="PASSED","&lt;/b&gt;","")</f>
        <v/>
      </c>
      <c r="AD305" s="43">
        <f>IF(ISBLANK(AE305),"","&lt;b&gt;")</f>
        <v/>
      </c>
      <c r="AE305" s="51" t="inlineStr">
        <is>
          <t>01/21</t>
        </is>
      </c>
      <c r="AF305" s="42">
        <f>IF(ISBLANK(AE305),"",": ")</f>
        <v/>
      </c>
      <c r="AG305" s="42" t="inlineStr">
        <is>
          <t>JFAC Budget Hearing</t>
        </is>
      </c>
      <c r="AH305" s="42">
        <f>IF(ISBLANK(AE305),"","&lt;/b&gt;")</f>
        <v/>
      </c>
      <c r="AI305" s="42" t="n"/>
      <c r="AJ305" s="42">
        <f>IF(ISBLANK(AI305),"","&lt;br&gt;"&amp;AI305)</f>
        <v/>
      </c>
      <c r="AK305" s="42" t="n"/>
      <c r="AL305" s="42" t="n"/>
      <c r="AM305" s="42" t="n"/>
      <c r="AN305" s="42">
        <f>IF(ISBLANK(AM305),"","&lt;/i&gt;")</f>
        <v/>
      </c>
      <c r="AO305" s="35">
        <f>IF(ISBLANK(AQ305),"","&lt;/b&gt;&lt;br&gt;&lt;br&gt;")</f>
        <v/>
      </c>
      <c r="AP305" s="42">
        <f>IF(ISBLANK(AQ305),"","&lt;b&gt;")</f>
        <v/>
      </c>
      <c r="AQ305" s="42" t="n"/>
      <c r="AR305" s="4" t="n"/>
      <c r="AS305" s="4">
        <f>IF(ISBLANK(AR305),""," %")</f>
        <v/>
      </c>
      <c r="AT305" s="4">
        <f t="array" ref="AT305">_xlfn.IFS(NOT(ISBLANK(AU305))," (pgs. ",NOT(ISBLANK(AS305))," (pg. ", ISBLANK(AS305), "")</f>
        <v/>
      </c>
      <c r="AU305" s="42" t="n"/>
      <c r="AV305" s="4">
        <f>IF(ISBLANK(AW305),"",", ")</f>
        <v/>
      </c>
      <c r="AW305" s="42" t="n"/>
      <c r="AX305" s="4">
        <f>IF(ISBLANK(AY305),"",",&lt;br&gt;")</f>
        <v/>
      </c>
      <c r="AY305" s="42" t="n"/>
      <c r="AZ305" s="49">
        <f>IF(ISBLANK(AU305),"",")&lt;/b&gt;")</f>
        <v/>
      </c>
      <c r="BA305" s="4">
        <f>IF(ISBLANK(BC305),"","&lt;br&gt;")</f>
        <v/>
      </c>
      <c r="BB305" s="42">
        <f t="array" ref="BB305">IF(ISBLANK(BC305),"",_xlfn.LET(
_xlpm.words,_xlfn.TEXTSPLIT(TRIM(BC305),"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05" s="50" t="n"/>
    </row>
    <row r="306">
      <c r="A306" s="20">
        <f>_xlfn.TEXTJOIN("", TRUE, F306:H306)</f>
        <v/>
      </c>
      <c r="B306" s="21">
        <f>_xlfn.TEXTJOIN("", TRUE, I306:S306)</f>
        <v/>
      </c>
      <c r="C306" s="21">
        <f>IF(ISBLANK(X306),"", _xlfn.TEXTJOIN("",TRUE,T306:Z306))</f>
        <v/>
      </c>
      <c r="D306" s="21">
        <f>IF(ISBLANK(AB306), "", _xlfn.TEXTJOIN("", TRUE, AA306:AC306))</f>
        <v/>
      </c>
      <c r="E306" s="22">
        <f>IF(AU306="NA", _xlfn.TEXTJOIN("", TRUE, AD306:AH306), _xlfn.TEXTJOIN("", TRUE, AD306:AJ306))</f>
        <v/>
      </c>
      <c r="F306" s="42">
        <f>IF(LEFT(G306,4)="FY26","&lt;b&gt;","&lt;i&gt;")</f>
        <v/>
      </c>
      <c r="G306" s="42" t="inlineStr">
        <is>
          <t>FY27 Enhancement</t>
        </is>
      </c>
      <c r="H306" s="42">
        <f>IF(LEFT(G306,4)="FY26","&lt;/b&gt;","&lt;/i&gt;")</f>
        <v/>
      </c>
      <c r="I306" s="43" t="inlineStr">
        <is>
          <t>&lt;i&gt;</t>
        </is>
      </c>
      <c r="J306" s="44" t="inlineStr">
        <is>
          <t>Public Schools</t>
        </is>
      </c>
      <c r="K306" s="44" t="inlineStr">
        <is>
          <t>&lt;/i&gt;</t>
        </is>
      </c>
      <c r="L306" s="4">
        <f>IF(ISBLANK(N306),"","&lt;br&gt;")</f>
        <v/>
      </c>
      <c r="M306" s="42">
        <f>IF(ISBLANK(R306),"&lt;b&gt;","&lt;i&gt;")</f>
        <v/>
      </c>
      <c r="N306" s="42" t="inlineStr">
        <is>
          <t>Facilities</t>
        </is>
      </c>
      <c r="O306" s="42">
        <f>IF(ISBLANK(R306),"&lt;/b&gt;","&lt;/i&gt;")</f>
        <v/>
      </c>
      <c r="P306" s="4">
        <f>IF(ISBLANK(R306),"","&lt;br&gt;")</f>
        <v/>
      </c>
      <c r="Q306" s="42">
        <f>IF(ISBLANK(R306),"","&lt;b&gt;")</f>
        <v/>
      </c>
      <c r="R306" s="42" t="n"/>
      <c r="S306" s="42">
        <f>IF(ISBLANK(R306),"","&lt;/i&gt;")</f>
        <v/>
      </c>
      <c r="T306" s="42">
        <f>IF(ISBLANK(X306),"",IF(OR(AB306="PASSED",ISBLANK(N306)),"&lt;b&gt;","&lt;i&gt;"))</f>
        <v/>
      </c>
      <c r="U306" s="3">
        <f>IF(ISBLANK(V306),"","&lt;a href='")</f>
        <v/>
      </c>
      <c r="V306" s="42" t="n"/>
      <c r="W306" s="17">
        <f>IF(ISBLANK(V306),"","'&gt;")</f>
        <v/>
      </c>
      <c r="X306" s="42" t="n"/>
      <c r="Y306" s="17">
        <f>IF(ISBLANK(X306),"","&lt;/a&gt;")</f>
        <v/>
      </c>
      <c r="Z306" s="42">
        <f>IF(ISBLANK(X306),"",IF(OR(AB306="PASSED",ISBLANK(N306)),"&lt;/b&gt;","&lt;/i&gt;"))</f>
        <v/>
      </c>
      <c r="AA306" s="43">
        <f>IF(AB306="PASSED","&lt;b&gt;","")</f>
        <v/>
      </c>
      <c r="AB306" s="45" t="inlineStr">
        <is>
          <t>—</t>
        </is>
      </c>
      <c r="AC306" s="43">
        <f>IF(AB306="PASSED","&lt;/b&gt;","")</f>
        <v/>
      </c>
      <c r="AD306" s="43">
        <f>IF(ISBLANK(AE306),"","&lt;b&gt;")</f>
        <v/>
      </c>
      <c r="AE306" s="51" t="inlineStr">
        <is>
          <t>01/21</t>
        </is>
      </c>
      <c r="AF306" s="42">
        <f>IF(ISBLANK(AE306),"",": ")</f>
        <v/>
      </c>
      <c r="AG306" s="42" t="inlineStr">
        <is>
          <t>JFAC Budget Hearing</t>
        </is>
      </c>
      <c r="AH306" s="42">
        <f>IF(ISBLANK(AE306),"","&lt;/b&gt;")</f>
        <v/>
      </c>
      <c r="AI306" s="42" t="n"/>
      <c r="AJ306" s="42">
        <f>IF(ISBLANK(AI306),"","&lt;br&gt;"&amp;AI306)</f>
        <v/>
      </c>
      <c r="AK306" s="42" t="n"/>
      <c r="AL306" s="42" t="n"/>
      <c r="AM306" s="42" t="n"/>
      <c r="AN306" s="42">
        <f>IF(ISBLANK(AM306),"","&lt;/i&gt;")</f>
        <v/>
      </c>
      <c r="AO306" s="35">
        <f>IF(ISBLANK(AQ306),"","&lt;/b&gt;&lt;br&gt;&lt;br&gt;")</f>
        <v/>
      </c>
      <c r="AP306" s="42">
        <f>IF(ISBLANK(AQ306),"","&lt;b&gt;")</f>
        <v/>
      </c>
      <c r="AQ306" s="42" t="n"/>
      <c r="AR306" s="4" t="n"/>
      <c r="AS306" s="4">
        <f>IF(ISBLANK(AR306),""," %")</f>
        <v/>
      </c>
      <c r="AT306" s="4">
        <f t="array" ref="AT306">_xlfn.IFS(NOT(ISBLANK(AU306))," (pgs. ",NOT(ISBLANK(AS306))," (pg. ", ISBLANK(AS306), "")</f>
        <v/>
      </c>
      <c r="AU306" s="42" t="n"/>
      <c r="AV306" s="4">
        <f>IF(ISBLANK(AW306),"",", ")</f>
        <v/>
      </c>
      <c r="AW306" s="42" t="n"/>
      <c r="AX306" s="4">
        <f>IF(ISBLANK(AY306),"",",&lt;br&gt;")</f>
        <v/>
      </c>
      <c r="AY306" s="42" t="n"/>
      <c r="AZ306" s="49">
        <f>IF(ISBLANK(AU306),"",")&lt;/b&gt;")</f>
        <v/>
      </c>
      <c r="BA306" s="4">
        <f>IF(ISBLANK(BC306),"","&lt;br&gt;")</f>
        <v/>
      </c>
      <c r="BB306" s="42">
        <f t="array" ref="BB306">IF(ISBLANK(BC306),"",_xlfn.LET(
_xlpm.words,_xlfn.TEXTSPLIT(TRIM(BC306),"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06" s="50" t="n"/>
    </row>
    <row r="307">
      <c r="A307" s="20">
        <f>_xlfn.TEXTJOIN("", TRUE, F307:H307)</f>
        <v/>
      </c>
      <c r="B307" s="21">
        <f>_xlfn.TEXTJOIN("", TRUE, I307:S307)</f>
        <v/>
      </c>
      <c r="C307" s="21">
        <f>IF(ISBLANK(X307),"", _xlfn.TEXTJOIN("",TRUE,T307:Z307))</f>
        <v/>
      </c>
      <c r="D307" s="21">
        <f>IF(ISBLANK(AB307), "", _xlfn.TEXTJOIN("", TRUE, AA307:AC307))</f>
        <v/>
      </c>
      <c r="E307" s="22">
        <f>IF(AU307="NA", _xlfn.TEXTJOIN("", TRUE, AD307:AH307), _xlfn.TEXTJOIN("", TRUE, AD307:AJ307))</f>
        <v/>
      </c>
      <c r="F307" s="42">
        <f>IF(LEFT(G307,4)="FY26","&lt;b&gt;","&lt;i&gt;")</f>
        <v/>
      </c>
      <c r="G307" s="42" t="inlineStr">
        <is>
          <t>FY27 Enhancement</t>
        </is>
      </c>
      <c r="H307" s="42">
        <f>IF(LEFT(G307,4)="FY26","&lt;/b&gt;","&lt;/i&gt;")</f>
        <v/>
      </c>
      <c r="I307" s="43" t="inlineStr">
        <is>
          <t>&lt;i&gt;</t>
        </is>
      </c>
      <c r="J307" s="44" t="inlineStr">
        <is>
          <t>Public Schools</t>
        </is>
      </c>
      <c r="K307" s="44" t="inlineStr">
        <is>
          <t>&lt;/i&gt;</t>
        </is>
      </c>
      <c r="L307" s="4">
        <f>IF(ISBLANK(N307),"","&lt;br&gt;")</f>
        <v/>
      </c>
      <c r="M307" s="42">
        <f>IF(ISBLANK(R307),"&lt;b&gt;","&lt;i&gt;")</f>
        <v/>
      </c>
      <c r="N307" s="42" t="inlineStr">
        <is>
          <t>Idaho Digital Learning Academy</t>
        </is>
      </c>
      <c r="O307" s="42">
        <f>IF(ISBLANK(R307),"&lt;/b&gt;","&lt;/i&gt;")</f>
        <v/>
      </c>
      <c r="P307" s="4">
        <f>IF(ISBLANK(R307),"","&lt;br&gt;")</f>
        <v/>
      </c>
      <c r="Q307" s="42">
        <f>IF(ISBLANK(R307),"","&lt;b&gt;")</f>
        <v/>
      </c>
      <c r="R307" s="42" t="n"/>
      <c r="S307" s="42">
        <f>IF(ISBLANK(R307),"","&lt;/i&gt;")</f>
        <v/>
      </c>
      <c r="T307" s="42">
        <f>IF(ISBLANK(X307),"",IF(OR(AB307="PASSED",ISBLANK(N307)),"&lt;b&gt;","&lt;i&gt;"))</f>
        <v/>
      </c>
      <c r="U307" s="3">
        <f>IF(ISBLANK(V307),"","&lt;a href='")</f>
        <v/>
      </c>
      <c r="V307" s="42" t="n"/>
      <c r="W307" s="17">
        <f>IF(ISBLANK(V307),"","'&gt;")</f>
        <v/>
      </c>
      <c r="X307" s="42" t="n"/>
      <c r="Y307" s="17">
        <f>IF(ISBLANK(X307),"","&lt;/a&gt;")</f>
        <v/>
      </c>
      <c r="Z307" s="42">
        <f>IF(ISBLANK(X307),"",IF(OR(AB307="PASSED",ISBLANK(N307)),"&lt;/b&gt;","&lt;/i&gt;"))</f>
        <v/>
      </c>
      <c r="AA307" s="43">
        <f>IF(AB307="PASSED","&lt;b&gt;","")</f>
        <v/>
      </c>
      <c r="AB307" s="45" t="inlineStr">
        <is>
          <t>—</t>
        </is>
      </c>
      <c r="AC307" s="43">
        <f>IF(AB307="PASSED","&lt;/b&gt;","")</f>
        <v/>
      </c>
      <c r="AD307" s="43">
        <f>IF(ISBLANK(AE307),"","&lt;b&gt;")</f>
        <v/>
      </c>
      <c r="AE307" s="51" t="inlineStr">
        <is>
          <t>01/21</t>
        </is>
      </c>
      <c r="AF307" s="42">
        <f>IF(ISBLANK(AE307),"",": ")</f>
        <v/>
      </c>
      <c r="AG307" s="42" t="inlineStr">
        <is>
          <t>JFAC Budget Hearing</t>
        </is>
      </c>
      <c r="AH307" s="42">
        <f>IF(ISBLANK(AE307),"","&lt;/b&gt;")</f>
        <v/>
      </c>
      <c r="AI307" s="42" t="n"/>
      <c r="AJ307" s="42">
        <f>IF(ISBLANK(AI307),"","&lt;br&gt;"&amp;AI307)</f>
        <v/>
      </c>
      <c r="AK307" s="42" t="n"/>
      <c r="AL307" s="42" t="n"/>
      <c r="AM307" s="42" t="n"/>
      <c r="AN307" s="42">
        <f>IF(ISBLANK(AM307),"","&lt;/i&gt;")</f>
        <v/>
      </c>
      <c r="AO307" s="35">
        <f>IF(ISBLANK(AQ307),"","&lt;/b&gt;&lt;br&gt;&lt;br&gt;")</f>
        <v/>
      </c>
      <c r="AP307" s="42">
        <f>IF(ISBLANK(AQ307),"","&lt;b&gt;")</f>
        <v/>
      </c>
      <c r="AQ307" s="42" t="n"/>
      <c r="AR307" s="4" t="n"/>
      <c r="AS307" s="4">
        <f>IF(ISBLANK(AR307),""," %")</f>
        <v/>
      </c>
      <c r="AT307" s="4">
        <f t="array" ref="AT307">_xlfn.IFS(NOT(ISBLANK(AU307))," (pgs. ",NOT(ISBLANK(AS307))," (pg. ", ISBLANK(AS307), "")</f>
        <v/>
      </c>
      <c r="AU307" s="42" t="n"/>
      <c r="AV307" s="4">
        <f>IF(ISBLANK(AW307),"",", ")</f>
        <v/>
      </c>
      <c r="AW307" s="42" t="n"/>
      <c r="AX307" s="4">
        <f>IF(ISBLANK(AY307),"",",&lt;br&gt;")</f>
        <v/>
      </c>
      <c r="AY307" s="42" t="n"/>
      <c r="AZ307" s="49">
        <f>IF(ISBLANK(AU307),"",")&lt;/b&gt;")</f>
        <v/>
      </c>
      <c r="BA307" s="4">
        <f>IF(ISBLANK(BC307),"","&lt;br&gt;")</f>
        <v/>
      </c>
      <c r="BB307" s="42">
        <f t="array" ref="BB307">IF(ISBLANK(BC307),"",_xlfn.LET(
_xlpm.words,_xlfn.TEXTSPLIT(TRIM(BC307),"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07" s="50" t="n"/>
    </row>
    <row r="308">
      <c r="A308" s="20">
        <f>_xlfn.TEXTJOIN("", TRUE, F308:H308)</f>
        <v/>
      </c>
      <c r="B308" s="21">
        <f>_xlfn.TEXTJOIN("", TRUE, I308:S308)</f>
        <v/>
      </c>
      <c r="C308" s="21">
        <f>IF(ISBLANK(X308),"", _xlfn.TEXTJOIN("",TRUE,T308:Z308))</f>
        <v/>
      </c>
      <c r="D308" s="21">
        <f>IF(ISBLANK(AB308), "", _xlfn.TEXTJOIN("", TRUE, AA308:AC308))</f>
        <v/>
      </c>
      <c r="E308" s="22">
        <f>IF(AU308="NA", _xlfn.TEXTJOIN("", TRUE, AD308:AH308), _xlfn.TEXTJOIN("", TRUE, AD308:AJ308))</f>
        <v/>
      </c>
      <c r="F308" s="42">
        <f>IF(LEFT(G308,4)="FY26","&lt;b&gt;","&lt;i&gt;")</f>
        <v/>
      </c>
      <c r="G308" s="42" t="inlineStr">
        <is>
          <t>FY27 Enhancement</t>
        </is>
      </c>
      <c r="H308" s="42">
        <f>IF(LEFT(G308,4)="FY26","&lt;/b&gt;","&lt;/i&gt;")</f>
        <v/>
      </c>
      <c r="I308" s="43" t="inlineStr">
        <is>
          <t>&lt;i&gt;</t>
        </is>
      </c>
      <c r="J308" s="44" t="inlineStr">
        <is>
          <t>Public Schools</t>
        </is>
      </c>
      <c r="K308" s="44" t="inlineStr">
        <is>
          <t>&lt;/i&gt;</t>
        </is>
      </c>
      <c r="L308" s="4">
        <f>IF(ISBLANK(N308),"","&lt;br&gt;")</f>
        <v/>
      </c>
      <c r="M308" s="42">
        <f>IF(ISBLANK(R308),"&lt;b&gt;","&lt;i&gt;")</f>
        <v/>
      </c>
      <c r="N308" s="42" t="inlineStr">
        <is>
          <t>Operations</t>
        </is>
      </c>
      <c r="O308" s="42">
        <f>IF(ISBLANK(R308),"&lt;/b&gt;","&lt;/i&gt;")</f>
        <v/>
      </c>
      <c r="P308" s="4">
        <f>IF(ISBLANK(R308),"","&lt;br&gt;")</f>
        <v/>
      </c>
      <c r="Q308" s="42">
        <f>IF(ISBLANK(R308),"","&lt;b&gt;")</f>
        <v/>
      </c>
      <c r="R308" s="42" t="n"/>
      <c r="S308" s="42">
        <f>IF(ISBLANK(R308),"","&lt;/i&gt;")</f>
        <v/>
      </c>
      <c r="T308" s="42">
        <f>IF(ISBLANK(X308),"",IF(OR(AB308="PASSED",ISBLANK(N308)),"&lt;b&gt;","&lt;i&gt;"))</f>
        <v/>
      </c>
      <c r="U308" s="3">
        <f>IF(ISBLANK(V308),"","&lt;a href='")</f>
        <v/>
      </c>
      <c r="V308" s="42" t="n"/>
      <c r="W308" s="17">
        <f>IF(ISBLANK(V308),"","'&gt;")</f>
        <v/>
      </c>
      <c r="X308" s="42" t="n"/>
      <c r="Y308" s="17">
        <f>IF(ISBLANK(X308),"","&lt;/a&gt;")</f>
        <v/>
      </c>
      <c r="Z308" s="42">
        <f>IF(ISBLANK(X308),"",IF(OR(AB308="PASSED",ISBLANK(N308)),"&lt;/b&gt;","&lt;/i&gt;"))</f>
        <v/>
      </c>
      <c r="AA308" s="43">
        <f>IF(AB308="PASSED","&lt;b&gt;","")</f>
        <v/>
      </c>
      <c r="AB308" s="45" t="inlineStr">
        <is>
          <t>—</t>
        </is>
      </c>
      <c r="AC308" s="43">
        <f>IF(AB308="PASSED","&lt;/b&gt;","")</f>
        <v/>
      </c>
      <c r="AD308" s="43">
        <f>IF(ISBLANK(AE308),"","&lt;b&gt;")</f>
        <v/>
      </c>
      <c r="AE308" s="51" t="inlineStr">
        <is>
          <t>01/21</t>
        </is>
      </c>
      <c r="AF308" s="42">
        <f>IF(ISBLANK(AE308),"",": ")</f>
        <v/>
      </c>
      <c r="AG308" s="42" t="inlineStr">
        <is>
          <t>JFAC Budget Hearing</t>
        </is>
      </c>
      <c r="AH308" s="42">
        <f>IF(ISBLANK(AE308),"","&lt;/b&gt;")</f>
        <v/>
      </c>
      <c r="AI308" s="42" t="n"/>
      <c r="AJ308" s="42">
        <f>IF(ISBLANK(AI308),"","&lt;br&gt;"&amp;AI308)</f>
        <v/>
      </c>
      <c r="AK308" s="42" t="n"/>
      <c r="AL308" s="42" t="n"/>
      <c r="AM308" s="42" t="n"/>
      <c r="AN308" s="42">
        <f>IF(ISBLANK(AM308),"","&lt;/i&gt;")</f>
        <v/>
      </c>
      <c r="AO308" s="35">
        <f>IF(ISBLANK(AQ308),"","&lt;/b&gt;&lt;br&gt;&lt;br&gt;")</f>
        <v/>
      </c>
      <c r="AP308" s="42">
        <f>IF(ISBLANK(AQ308),"","&lt;b&gt;")</f>
        <v/>
      </c>
      <c r="AQ308" s="42" t="n"/>
      <c r="AR308" s="4" t="n"/>
      <c r="AS308" s="4">
        <f>IF(ISBLANK(AR308),""," %")</f>
        <v/>
      </c>
      <c r="AT308" s="4">
        <f t="array" ref="AT308">_xlfn.IFS(NOT(ISBLANK(AU308))," (pgs. ",NOT(ISBLANK(AS308))," (pg. ", ISBLANK(AS308), "")</f>
        <v/>
      </c>
      <c r="AU308" s="42" t="n"/>
      <c r="AV308" s="4">
        <f>IF(ISBLANK(AW308),"",", ")</f>
        <v/>
      </c>
      <c r="AW308" s="42" t="n"/>
      <c r="AX308" s="4">
        <f>IF(ISBLANK(AY308),"",",&lt;br&gt;")</f>
        <v/>
      </c>
      <c r="AY308" s="42" t="n"/>
      <c r="AZ308" s="49">
        <f>IF(ISBLANK(AU308),"",")&lt;/b&gt;")</f>
        <v/>
      </c>
      <c r="BA308" s="4">
        <f>IF(ISBLANK(BC308),"","&lt;br&gt;")</f>
        <v/>
      </c>
      <c r="BB308" s="42">
        <f t="array" ref="BB308">IF(ISBLANK(BC308),"",_xlfn.LET(
_xlpm.words,_xlfn.TEXTSPLIT(TRIM(BC308),"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08" s="50" t="n"/>
    </row>
    <row r="309">
      <c r="A309" s="20">
        <f>_xlfn.TEXTJOIN("", TRUE, F309:H309)</f>
        <v/>
      </c>
      <c r="B309" s="21">
        <f>_xlfn.TEXTJOIN("", TRUE, I309:S309)</f>
        <v/>
      </c>
      <c r="C309" s="21">
        <f>IF(ISBLANK(X309),"", _xlfn.TEXTJOIN("",TRUE,T309:Z309))</f>
        <v/>
      </c>
      <c r="D309" s="21">
        <f>IF(ISBLANK(AB309), "", _xlfn.TEXTJOIN("", TRUE, AA309:AC309))</f>
        <v/>
      </c>
      <c r="E309" s="22">
        <f>IF(AU309="NA", _xlfn.TEXTJOIN("", TRUE, AD309:AH309), _xlfn.TEXTJOIN("", TRUE, AD309:AJ309))</f>
        <v/>
      </c>
      <c r="F309" s="42">
        <f>IF(LEFT(G309,4)="FY26","&lt;b&gt;","&lt;i&gt;")</f>
        <v/>
      </c>
      <c r="G309" s="42" t="inlineStr">
        <is>
          <t>FY27 Enhancement</t>
        </is>
      </c>
      <c r="H309" s="42">
        <f>IF(LEFT(G309,4)="FY26","&lt;/b&gt;","&lt;/i&gt;")</f>
        <v/>
      </c>
      <c r="I309" s="43" t="inlineStr">
        <is>
          <t>&lt;i&gt;</t>
        </is>
      </c>
      <c r="J309" s="44" t="inlineStr">
        <is>
          <t>Public Schools</t>
        </is>
      </c>
      <c r="K309" s="44" t="inlineStr">
        <is>
          <t>&lt;/i&gt;</t>
        </is>
      </c>
      <c r="L309" s="4">
        <f>IF(ISBLANK(N309),"","&lt;br&gt;")</f>
        <v/>
      </c>
      <c r="M309" s="42">
        <f>IF(ISBLANK(R309),"&lt;b&gt;","&lt;i&gt;")</f>
        <v/>
      </c>
      <c r="N309" s="42" t="inlineStr">
        <is>
          <t>Student Support</t>
        </is>
      </c>
      <c r="O309" s="42">
        <f>IF(ISBLANK(R309),"&lt;/b&gt;","&lt;/i&gt;")</f>
        <v/>
      </c>
      <c r="P309" s="4">
        <f>IF(ISBLANK(R309),"","&lt;br&gt;")</f>
        <v/>
      </c>
      <c r="Q309" s="42">
        <f>IF(ISBLANK(R309),"","&lt;b&gt;")</f>
        <v/>
      </c>
      <c r="R309" s="42" t="n"/>
      <c r="S309" s="42">
        <f>IF(ISBLANK(R309),"","&lt;/i&gt;")</f>
        <v/>
      </c>
      <c r="T309" s="42">
        <f>IF(ISBLANK(X309),"",IF(OR(AB309="PASSED",ISBLANK(N309)),"&lt;b&gt;","&lt;i&gt;"))</f>
        <v/>
      </c>
      <c r="U309" s="3">
        <f>IF(ISBLANK(V309),"","&lt;a href='")</f>
        <v/>
      </c>
      <c r="V309" s="42" t="n"/>
      <c r="W309" s="17">
        <f>IF(ISBLANK(V309),"","'&gt;")</f>
        <v/>
      </c>
      <c r="X309" s="42" t="n"/>
      <c r="Y309" s="17">
        <f>IF(ISBLANK(X309),"","&lt;/a&gt;")</f>
        <v/>
      </c>
      <c r="Z309" s="42">
        <f>IF(ISBLANK(X309),"",IF(OR(AB309="PASSED",ISBLANK(N309)),"&lt;/b&gt;","&lt;/i&gt;"))</f>
        <v/>
      </c>
      <c r="AA309" s="43">
        <f>IF(AB309="PASSED","&lt;b&gt;","")</f>
        <v/>
      </c>
      <c r="AB309" s="45" t="inlineStr">
        <is>
          <t>—</t>
        </is>
      </c>
      <c r="AC309" s="43">
        <f>IF(AB309="PASSED","&lt;/b&gt;","")</f>
        <v/>
      </c>
      <c r="AD309" s="43">
        <f>IF(ISBLANK(AE309),"","&lt;b&gt;")</f>
        <v/>
      </c>
      <c r="AE309" s="51" t="inlineStr">
        <is>
          <t>01/21</t>
        </is>
      </c>
      <c r="AF309" s="42">
        <f>IF(ISBLANK(AE309),"",": ")</f>
        <v/>
      </c>
      <c r="AG309" s="42" t="inlineStr">
        <is>
          <t>JFAC Budget Hearing</t>
        </is>
      </c>
      <c r="AH309" s="42">
        <f>IF(ISBLANK(AE309),"","&lt;/b&gt;")</f>
        <v/>
      </c>
      <c r="AI309" s="42" t="n"/>
      <c r="AJ309" s="42">
        <f>IF(ISBLANK(AI309),"","&lt;br&gt;"&amp;AI309)</f>
        <v/>
      </c>
      <c r="AK309" s="42" t="n"/>
      <c r="AL309" s="42" t="n"/>
      <c r="AM309" s="42" t="n"/>
      <c r="AN309" s="42">
        <f>IF(ISBLANK(AM309),"","&lt;/i&gt;")</f>
        <v/>
      </c>
      <c r="AO309" s="35">
        <f>IF(ISBLANK(AQ309),"","&lt;/b&gt;&lt;br&gt;&lt;br&gt;")</f>
        <v/>
      </c>
      <c r="AP309" s="42">
        <f>IF(ISBLANK(AQ309),"","&lt;b&gt;")</f>
        <v/>
      </c>
      <c r="AQ309" s="42" t="n"/>
      <c r="AR309" s="4" t="n"/>
      <c r="AS309" s="4">
        <f>IF(ISBLANK(AR309),""," %")</f>
        <v/>
      </c>
      <c r="AT309" s="4">
        <f t="array" ref="AT309">_xlfn.IFS(NOT(ISBLANK(AU309))," (pgs. ",NOT(ISBLANK(AS309))," (pg. ", ISBLANK(AS309), "")</f>
        <v/>
      </c>
      <c r="AU309" s="42" t="n"/>
      <c r="AV309" s="4">
        <f>IF(ISBLANK(AW309),"",", ")</f>
        <v/>
      </c>
      <c r="AW309" s="42" t="n"/>
      <c r="AX309" s="4">
        <f>IF(ISBLANK(AY309),"",",&lt;br&gt;")</f>
        <v/>
      </c>
      <c r="AY309" s="42" t="n"/>
      <c r="AZ309" s="49">
        <f>IF(ISBLANK(AU309),"",")&lt;/b&gt;")</f>
        <v/>
      </c>
      <c r="BA309" s="4">
        <f>IF(ISBLANK(BC309),"","&lt;br&gt;")</f>
        <v/>
      </c>
      <c r="BB309" s="42">
        <f t="array" ref="BB309">IF(ISBLANK(BC309),"",_xlfn.LET(
_xlpm.words,_xlfn.TEXTSPLIT(TRIM(BC309),"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09" s="50" t="n"/>
    </row>
    <row r="310">
      <c r="A310" s="20">
        <f>_xlfn.TEXTJOIN("", TRUE, F310:H310)</f>
        <v/>
      </c>
      <c r="B310" s="21">
        <f>_xlfn.TEXTJOIN("", TRUE, I310:S310)</f>
        <v/>
      </c>
      <c r="C310" s="21">
        <f>IF(ISBLANK(X310),"", _xlfn.TEXTJOIN("",TRUE,T310:Z310))</f>
        <v/>
      </c>
      <c r="D310" s="21">
        <f>IF(ISBLANK(AB310), "", _xlfn.TEXTJOIN("", TRUE, AA310:AC310))</f>
        <v/>
      </c>
      <c r="E310" s="22">
        <f>IF(AU310="NA", _xlfn.TEXTJOIN("", TRUE, AD310:AH310), _xlfn.TEXTJOIN("", TRUE, AD310:AJ310))</f>
        <v/>
      </c>
      <c r="F310" s="42">
        <f>IF(LEFT(G310,4)="FY26","&lt;b&gt;","&lt;i&gt;")</f>
        <v/>
      </c>
      <c r="G310" s="42" t="inlineStr">
        <is>
          <t>FY27 Enhancement</t>
        </is>
      </c>
      <c r="H310" s="42">
        <f>IF(LEFT(G310,4)="FY26","&lt;/b&gt;","&lt;/i&gt;")</f>
        <v/>
      </c>
      <c r="I310" s="43" t="inlineStr">
        <is>
          <t>&lt;i&gt;</t>
        </is>
      </c>
      <c r="J310" s="44" t="inlineStr">
        <is>
          <t>Public Schools</t>
        </is>
      </c>
      <c r="K310" s="44" t="inlineStr">
        <is>
          <t>&lt;/i&gt;</t>
        </is>
      </c>
      <c r="L310" s="4">
        <f>IF(ISBLANK(N310),"","&lt;br&gt;")</f>
        <v/>
      </c>
      <c r="M310" s="42">
        <f>IF(ISBLANK(R310),"&lt;b&gt;","&lt;i&gt;")</f>
        <v/>
      </c>
      <c r="N310" s="42" t="inlineStr">
        <is>
          <t>Teachers</t>
        </is>
      </c>
      <c r="O310" s="42">
        <f>IF(ISBLANK(R310),"&lt;/b&gt;","&lt;/i&gt;")</f>
        <v/>
      </c>
      <c r="P310" s="4">
        <f>IF(ISBLANK(R310),"","&lt;br&gt;")</f>
        <v/>
      </c>
      <c r="Q310" s="42">
        <f>IF(ISBLANK(R310),"","&lt;b&gt;")</f>
        <v/>
      </c>
      <c r="R310" s="42" t="n"/>
      <c r="S310" s="42">
        <f>IF(ISBLANK(R310),"","&lt;/i&gt;")</f>
        <v/>
      </c>
      <c r="T310" s="42">
        <f>IF(ISBLANK(X310),"",IF(OR(AB310="PASSED",ISBLANK(N310)),"&lt;b&gt;","&lt;i&gt;"))</f>
        <v/>
      </c>
      <c r="U310" s="3">
        <f>IF(ISBLANK(V310),"","&lt;a href='")</f>
        <v/>
      </c>
      <c r="V310" s="42" t="n"/>
      <c r="W310" s="17">
        <f>IF(ISBLANK(V310),"","'&gt;")</f>
        <v/>
      </c>
      <c r="X310" s="42" t="n"/>
      <c r="Y310" s="17">
        <f>IF(ISBLANK(X310),"","&lt;/a&gt;")</f>
        <v/>
      </c>
      <c r="Z310" s="42">
        <f>IF(ISBLANK(X310),"",IF(OR(AB310="PASSED",ISBLANK(N310)),"&lt;/b&gt;","&lt;/i&gt;"))</f>
        <v/>
      </c>
      <c r="AA310" s="43">
        <f>IF(AB310="PASSED","&lt;b&gt;","")</f>
        <v/>
      </c>
      <c r="AB310" s="45" t="inlineStr">
        <is>
          <t>—</t>
        </is>
      </c>
      <c r="AC310" s="43">
        <f>IF(AB310="PASSED","&lt;/b&gt;","")</f>
        <v/>
      </c>
      <c r="AD310" s="43">
        <f>IF(ISBLANK(AE310),"","&lt;b&gt;")</f>
        <v/>
      </c>
      <c r="AE310" s="51" t="inlineStr">
        <is>
          <t>01/21</t>
        </is>
      </c>
      <c r="AF310" s="42">
        <f>IF(ISBLANK(AE310),"",": ")</f>
        <v/>
      </c>
      <c r="AG310" s="42" t="inlineStr">
        <is>
          <t>JFAC Budget Hearing</t>
        </is>
      </c>
      <c r="AH310" s="42">
        <f>IF(ISBLANK(AE310),"","&lt;/b&gt;")</f>
        <v/>
      </c>
      <c r="AI310" s="42" t="n"/>
      <c r="AJ310" s="42">
        <f>IF(ISBLANK(AI310),"","&lt;br&gt;"&amp;AI310)</f>
        <v/>
      </c>
      <c r="AK310" s="42" t="n"/>
      <c r="AL310" s="42" t="n"/>
      <c r="AM310" s="42" t="n"/>
      <c r="AN310" s="42">
        <f>IF(ISBLANK(AM310),"","&lt;/i&gt;")</f>
        <v/>
      </c>
      <c r="AO310" s="35">
        <f>IF(ISBLANK(AQ310),"","&lt;/b&gt;&lt;br&gt;&lt;br&gt;")</f>
        <v/>
      </c>
      <c r="AP310" s="42">
        <f>IF(ISBLANK(AQ310),"","&lt;b&gt;")</f>
        <v/>
      </c>
      <c r="AQ310" s="42" t="n"/>
      <c r="AR310" s="4" t="n"/>
      <c r="AS310" s="4">
        <f>IF(ISBLANK(AR310),""," %")</f>
        <v/>
      </c>
      <c r="AT310" s="4">
        <f t="array" ref="AT310">_xlfn.IFS(NOT(ISBLANK(AU310))," (pgs. ",NOT(ISBLANK(AS310))," (pg. ", ISBLANK(AS310), "")</f>
        <v/>
      </c>
      <c r="AU310" s="42" t="n"/>
      <c r="AV310" s="4">
        <f>IF(ISBLANK(AW310),"",", ")</f>
        <v/>
      </c>
      <c r="AW310" s="42" t="n"/>
      <c r="AX310" s="4">
        <f>IF(ISBLANK(AY310),"",",&lt;br&gt;")</f>
        <v/>
      </c>
      <c r="AY310" s="42" t="n"/>
      <c r="AZ310" s="49">
        <f>IF(ISBLANK(AU310),"",")&lt;/b&gt;")</f>
        <v/>
      </c>
      <c r="BA310" s="4">
        <f>IF(ISBLANK(BC310),"","&lt;br&gt;")</f>
        <v/>
      </c>
      <c r="BB310" s="42">
        <f t="array" ref="BB310">IF(ISBLANK(BC310),"",_xlfn.LET(
_xlpm.words,_xlfn.TEXTSPLIT(TRIM(BC310),"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10" s="50" t="n"/>
    </row>
    <row r="311">
      <c r="A311" s="20">
        <f>_xlfn.TEXTJOIN("", TRUE, F311:H311)</f>
        <v/>
      </c>
      <c r="B311" s="21">
        <f>_xlfn.TEXTJOIN("", TRUE, I311:S311)</f>
        <v/>
      </c>
      <c r="C311" s="21">
        <f>IF(ISBLANK(X311),"", _xlfn.TEXTJOIN("",TRUE,T311:Z311))</f>
        <v/>
      </c>
      <c r="D311" s="21">
        <f>IF(ISBLANK(AB311), "", _xlfn.TEXTJOIN("", TRUE, AA311:AC311))</f>
        <v/>
      </c>
      <c r="E311" s="22">
        <f>IF(AU311="NA", _xlfn.TEXTJOIN("", TRUE, AD311:AH311), _xlfn.TEXTJOIN("", TRUE, AD311:AJ311))</f>
        <v/>
      </c>
      <c r="F311" s="42">
        <f>IF(LEFT(G311,4)="FY26","&lt;b&gt;","&lt;i&gt;")</f>
        <v/>
      </c>
      <c r="G311" s="42" t="inlineStr">
        <is>
          <t>FY27 Enhancement</t>
        </is>
      </c>
      <c r="H311" s="42">
        <f>IF(LEFT(G311,4)="FY26","&lt;/b&gt;","&lt;/i&gt;")</f>
        <v/>
      </c>
      <c r="I311" s="43" t="inlineStr">
        <is>
          <t>&lt;i&gt;</t>
        </is>
      </c>
      <c r="J311" s="44" t="inlineStr">
        <is>
          <t>Health &amp; Human Services</t>
        </is>
      </c>
      <c r="K311" s="44" t="inlineStr">
        <is>
          <t>&lt;/i&gt;</t>
        </is>
      </c>
      <c r="L311" s="4">
        <f>IF(ISBLANK(N311),"","&lt;br&gt;")</f>
        <v/>
      </c>
      <c r="M311" s="42">
        <f>IF(ISBLANK(R311),"&lt;b&gt;","&lt;i&gt;")</f>
        <v/>
      </c>
      <c r="N311" s="42" t="inlineStr">
        <is>
          <t>Dept. of Health &amp; Welfare</t>
        </is>
      </c>
      <c r="O311" s="42">
        <f>IF(ISBLANK(R311),"&lt;/b&gt;","&lt;/i&gt;")</f>
        <v/>
      </c>
      <c r="P311" s="4">
        <f>IF(ISBLANK(R311),"","&lt;br&gt;")</f>
        <v/>
      </c>
      <c r="Q311" s="42">
        <f>IF(ISBLANK(R311),"","&lt;b&gt;")</f>
        <v/>
      </c>
      <c r="R311" s="42" t="inlineStr">
        <is>
          <t>Indirect Support Services</t>
        </is>
      </c>
      <c r="S311" s="42">
        <f>IF(ISBLANK(R311),"","&lt;/i&gt;")</f>
        <v/>
      </c>
      <c r="T311" s="42">
        <f>IF(ISBLANK(X311),"",IF(OR(AB311="PASSED",ISBLANK(N311)),"&lt;b&gt;","&lt;i&gt;"))</f>
        <v/>
      </c>
      <c r="U311" s="3">
        <f>IF(ISBLANK(V311),"","&lt;a href='")</f>
        <v/>
      </c>
      <c r="V311" s="42" t="n"/>
      <c r="W311" s="17">
        <f>IF(ISBLANK(V311),"","'&gt;")</f>
        <v/>
      </c>
      <c r="X311" s="42" t="n"/>
      <c r="Y311" s="17">
        <f>IF(ISBLANK(X311),"","&lt;/a&gt;")</f>
        <v/>
      </c>
      <c r="Z311" s="42">
        <f>IF(ISBLANK(X311),"",IF(OR(AB311="PASSED",ISBLANK(N311)),"&lt;/b&gt;","&lt;/i&gt;"))</f>
        <v/>
      </c>
      <c r="AA311" s="43">
        <f>IF(AB311="PASSED","&lt;b&gt;","")</f>
        <v/>
      </c>
      <c r="AB311" s="45" t="inlineStr">
        <is>
          <t>—</t>
        </is>
      </c>
      <c r="AC311" s="43">
        <f>IF(AB311="PASSED","&lt;/b&gt;","")</f>
        <v/>
      </c>
      <c r="AD311" s="43">
        <f>IF(ISBLANK(AE311),"","&lt;b&gt;")</f>
        <v/>
      </c>
      <c r="AE311" s="51" t="inlineStr">
        <is>
          <t>01/16</t>
        </is>
      </c>
      <c r="AF311" s="42">
        <f>IF(ISBLANK(AE311),"",": ")</f>
        <v/>
      </c>
      <c r="AG311" s="42" t="inlineStr">
        <is>
          <t>JFAC Budget Hearing</t>
        </is>
      </c>
      <c r="AH311" s="42">
        <f>IF(ISBLANK(AE311),"","&lt;/b&gt;")</f>
        <v/>
      </c>
      <c r="AI311" s="42" t="n"/>
      <c r="AJ311" s="42">
        <f>IF(ISBLANK(AI311),"","&lt;br&gt;"&amp;AI311)</f>
        <v/>
      </c>
      <c r="AK311" s="42" t="n"/>
      <c r="AL311" s="42" t="n"/>
      <c r="AM311" s="42" t="n"/>
      <c r="AN311" s="42">
        <f>IF(ISBLANK(AM311),"","&lt;/i&gt;")</f>
        <v/>
      </c>
      <c r="AO311" s="35">
        <f>IF(ISBLANK(AQ311),"","&lt;/b&gt;&lt;br&gt;&lt;br&gt;")</f>
        <v/>
      </c>
      <c r="AP311" s="42">
        <f>IF(ISBLANK(AQ311),"","&lt;b&gt;")</f>
        <v/>
      </c>
      <c r="AQ311" s="42" t="n"/>
      <c r="AR311" s="4" t="n"/>
      <c r="AS311" s="4">
        <f>IF(ISBLANK(AR311),""," %")</f>
        <v/>
      </c>
      <c r="AT311" s="4">
        <f t="array" ref="AT311">_xlfn.IFS(NOT(ISBLANK(AU311))," (pgs. ",NOT(ISBLANK(AS311))," (pg. ", ISBLANK(AS311), "")</f>
        <v/>
      </c>
      <c r="AU311" s="42" t="n"/>
      <c r="AV311" s="4">
        <f>IF(ISBLANK(AW311),"",", ")</f>
        <v/>
      </c>
      <c r="AW311" s="42" t="n"/>
      <c r="AX311" s="4">
        <f>IF(ISBLANK(AY311),"",",&lt;br&gt;")</f>
        <v/>
      </c>
      <c r="AY311" s="42" t="n"/>
      <c r="AZ311" s="49">
        <f>IF(ISBLANK(AU311),"",")&lt;/b&gt;")</f>
        <v/>
      </c>
      <c r="BA311" s="4">
        <f>IF(ISBLANK(BC311),"","&lt;br&gt;")</f>
        <v/>
      </c>
      <c r="BB311" s="42">
        <f t="array" ref="BB311">IF(ISBLANK(BC311),"",_xlfn.LET(
_xlpm.words,_xlfn.TEXTSPLIT(TRIM(BC311),"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11" s="50" t="n"/>
    </row>
    <row r="312">
      <c r="A312" s="20">
        <f>_xlfn.TEXTJOIN("", TRUE, F312:H312)</f>
        <v/>
      </c>
      <c r="B312" s="21">
        <f>_xlfn.TEXTJOIN("", TRUE, I312:S312)</f>
        <v/>
      </c>
      <c r="C312" s="21">
        <f>IF(ISBLANK(X312),"", _xlfn.TEXTJOIN("",TRUE,T312:Z312))</f>
        <v/>
      </c>
      <c r="D312" s="21">
        <f>IF(ISBLANK(AB312), "", _xlfn.TEXTJOIN("", TRUE, AA312:AC312))</f>
        <v/>
      </c>
      <c r="E312" s="22">
        <f>IF(AU312="NA", _xlfn.TEXTJOIN("", TRUE, AD312:AH312), _xlfn.TEXTJOIN("", TRUE, AD312:AJ312))</f>
        <v/>
      </c>
      <c r="F312" s="42">
        <f>IF(LEFT(G312,4)="FY26","&lt;b&gt;","&lt;i&gt;")</f>
        <v/>
      </c>
      <c r="G312" s="42" t="inlineStr">
        <is>
          <t>FY26 Supplemental</t>
        </is>
      </c>
      <c r="H312" s="42">
        <f>IF(LEFT(G312,4)="FY26","&lt;/b&gt;","&lt;/i&gt;")</f>
        <v/>
      </c>
      <c r="I312" s="43" t="inlineStr">
        <is>
          <t>&lt;i&gt;</t>
        </is>
      </c>
      <c r="J312" s="44" t="inlineStr">
        <is>
          <t>General Government</t>
        </is>
      </c>
      <c r="K312" s="44" t="inlineStr">
        <is>
          <t>&lt;/i&gt;</t>
        </is>
      </c>
      <c r="L312" s="4">
        <f>IF(ISBLANK(N312),"","&lt;br&gt;")</f>
        <v/>
      </c>
      <c r="M312" s="42">
        <f>IF(ISBLANK(R312),"&lt;b&gt;","&lt;i&gt;")</f>
        <v/>
      </c>
      <c r="N312" s="42" t="inlineStr">
        <is>
          <t>Dept. of Revenue &amp; Taxation</t>
        </is>
      </c>
      <c r="O312" s="42">
        <f>IF(ISBLANK(R312),"&lt;/b&gt;","&lt;/i&gt;")</f>
        <v/>
      </c>
      <c r="P312" s="4">
        <f>IF(ISBLANK(R312),"","&lt;br&gt;")</f>
        <v/>
      </c>
      <c r="Q312" s="42">
        <f>IF(ISBLANK(R312),"","&lt;b&gt;")</f>
        <v/>
      </c>
      <c r="R312" s="42" t="inlineStr">
        <is>
          <t>State Tax Comm.</t>
        </is>
      </c>
      <c r="S312" s="42">
        <f>IF(ISBLANK(R312),"","&lt;/i&gt;")</f>
        <v/>
      </c>
      <c r="T312" s="42">
        <f>IF(ISBLANK(X312),"",IF(OR(AB312="PASSED",ISBLANK(N312)),"&lt;b&gt;","&lt;i&gt;"))</f>
        <v/>
      </c>
      <c r="U312" s="3">
        <f>IF(ISBLANK(V312),"","&lt;a href='")</f>
        <v/>
      </c>
      <c r="V312" s="55" t="inlineStr">
        <is>
          <t>https://legislature.idaho.gov/sessioninfo/rs/</t>
        </is>
      </c>
      <c r="W312" s="17">
        <f>IF(ISBLANK(V312),"","'&gt;")</f>
        <v/>
      </c>
      <c r="X312" s="12" t="inlineStr">
        <is>
          <t>Supplemental</t>
        </is>
      </c>
      <c r="Y312" s="17">
        <f>IF(ISBLANK(X312),"","&lt;/a&gt;")</f>
        <v/>
      </c>
      <c r="Z312" s="42">
        <f>IF(ISBLANK(X312),"",IF(OR(AB312="PASSED",ISBLANK(N312)),"&lt;/b&gt;","&lt;/i&gt;"))</f>
        <v/>
      </c>
      <c r="AA312" s="43">
        <f>IF(AB312="PASSED","&lt;b&gt;","")</f>
        <v/>
      </c>
      <c r="AB312" s="45" t="inlineStr">
        <is>
          <t>INTRODUCED</t>
        </is>
      </c>
      <c r="AC312" s="43">
        <f>IF(AB312="PASSED","&lt;/b&gt;","")</f>
        <v/>
      </c>
      <c r="AD312" s="43">
        <f>IF(ISBLANK(AE312),"","&lt;b&gt;")</f>
        <v/>
      </c>
      <c r="AE312" s="51" t="inlineStr">
        <is>
          <t>02/20</t>
        </is>
      </c>
      <c r="AF312" s="42">
        <f>IF(ISBLANK(AE312),"",": ")</f>
        <v/>
      </c>
      <c r="AG312" s="42" t="inlineStr">
        <is>
          <t>FY26 Federal Tax Conformity</t>
        </is>
      </c>
      <c r="AH312" s="42">
        <f>IF(ISBLANK(AE312),"","&lt;/b&gt;")</f>
        <v/>
      </c>
      <c r="AI312" s="42" t="n"/>
      <c r="AJ312" s="42">
        <f>IF(ISBLANK(AI312),"","&lt;br&gt;"&amp;AI312)</f>
        <v/>
      </c>
      <c r="AK312" s="42" t="n"/>
      <c r="AL312" s="42" t="n"/>
      <c r="AM312" s="42" t="n"/>
      <c r="AN312" s="42">
        <f>IF(ISBLANK(AM312),"","&lt;/i&gt;")</f>
        <v/>
      </c>
      <c r="AO312" s="35">
        <f>IF(ISBLANK(AQ312),"","&lt;/b&gt;&lt;br&gt;&lt;br&gt;")</f>
        <v/>
      </c>
      <c r="AP312" s="42">
        <f>IF(ISBLANK(AQ312),"","&lt;b&gt;")</f>
        <v/>
      </c>
      <c r="AQ312" s="42" t="n"/>
      <c r="AR312" s="4" t="n"/>
      <c r="AS312" s="4">
        <f>IF(ISBLANK(AR312),""," %")</f>
        <v/>
      </c>
      <c r="AT312" s="4">
        <f t="array" ref="AT312">_xlfn.IFS(NOT(ISBLANK(AU312))," (pgs. ",NOT(ISBLANK(AS312))," (pg. ", ISBLANK(AS312), "")</f>
        <v/>
      </c>
      <c r="AU312" s="42" t="n"/>
      <c r="AV312" s="4">
        <f>IF(ISBLANK(AW312),"",", ")</f>
        <v/>
      </c>
      <c r="AW312" s="42" t="n"/>
      <c r="AX312" s="4">
        <f>IF(ISBLANK(AY312),"",",&lt;br&gt;")</f>
        <v/>
      </c>
      <c r="AY312" s="42" t="n"/>
      <c r="AZ312" s="49">
        <f>IF(ISBLANK(AU312),"",")&lt;/b&gt;")</f>
        <v/>
      </c>
      <c r="BA312" s="4">
        <f>IF(ISBLANK(BC312),"","&lt;br&gt;")</f>
        <v/>
      </c>
      <c r="BB312" s="42">
        <f t="array" ref="BB312">IF(ISBLANK(BC312),"",_xlfn.LET(
_xlpm.words,_xlfn.TEXTSPLIT(TRIM(BC312),"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12" s="50" t="n"/>
    </row>
    <row r="313">
      <c r="A313" s="20">
        <f>_xlfn.TEXTJOIN("", TRUE, F313:H313)</f>
        <v/>
      </c>
      <c r="B313" s="21">
        <f>_xlfn.TEXTJOIN("", TRUE, I313:S313)</f>
        <v/>
      </c>
      <c r="C313" s="21">
        <f>IF(ISBLANK(X313),"", _xlfn.TEXTJOIN("",TRUE,T313:Z313))</f>
        <v/>
      </c>
      <c r="D313" s="21">
        <f>IF(ISBLANK(AB313), "", _xlfn.TEXTJOIN("", TRUE, AA313:AC313))</f>
        <v/>
      </c>
      <c r="E313" s="22">
        <f>IF(AU313="NA", _xlfn.TEXTJOIN("", TRUE, AD313:AH313), _xlfn.TEXTJOIN("", TRUE, AD313:AJ313))</f>
        <v/>
      </c>
      <c r="F313" s="42">
        <f>IF(LEFT(G313,4)="FY26","&lt;b&gt;","&lt;i&gt;")</f>
        <v/>
      </c>
      <c r="G313" s="42" t="inlineStr">
        <is>
          <t>FY26 Supplemental</t>
        </is>
      </c>
      <c r="H313" s="42">
        <f>IF(LEFT(G313,4)="FY26","&lt;/b&gt;","&lt;/i&gt;")</f>
        <v/>
      </c>
      <c r="I313" s="43" t="inlineStr">
        <is>
          <t>&lt;i&gt;</t>
        </is>
      </c>
      <c r="J313" s="42" t="inlineStr">
        <is>
          <t>General Government</t>
        </is>
      </c>
      <c r="K313" s="44" t="inlineStr">
        <is>
          <t>&lt;/i&gt;</t>
        </is>
      </c>
      <c r="L313" s="4">
        <f>IF(ISBLANK(N313),"","&lt;br&gt;")</f>
        <v/>
      </c>
      <c r="M313" s="42">
        <f>IF(ISBLANK(R313),"&lt;b&gt;","&lt;i&gt;")</f>
        <v/>
      </c>
      <c r="N313" s="42" t="inlineStr">
        <is>
          <t>Office of the Governor</t>
        </is>
      </c>
      <c r="O313" s="42">
        <f>IF(ISBLANK(R313),"&lt;/b&gt;","&lt;/i&gt;")</f>
        <v/>
      </c>
      <c r="P313" s="4">
        <f>IF(ISBLANK(R313),"","&lt;br&gt;")</f>
        <v/>
      </c>
      <c r="Q313" s="42">
        <f>IF(ISBLANK(R313),"","&lt;b&gt;")</f>
        <v/>
      </c>
      <c r="R313" s="42" t="inlineStr">
        <is>
          <t>Military Div.</t>
        </is>
      </c>
      <c r="S313" s="42">
        <f>IF(ISBLANK(R313),"","&lt;/i&gt;")</f>
        <v/>
      </c>
      <c r="T313" s="42">
        <f>IF(ISBLANK(X313),"",IF(OR(AB313="PASSED",ISBLANK(N313)),"&lt;b&gt;","&lt;i&gt;"))</f>
        <v/>
      </c>
      <c r="U313" s="3">
        <f>IF(ISBLANK(V313),"","&lt;a href='")</f>
        <v/>
      </c>
      <c r="V313" s="55" t="inlineStr">
        <is>
          <t>https://legislature.idaho.gov/sessioninfo/rs/</t>
        </is>
      </c>
      <c r="W313" s="17">
        <f>IF(ISBLANK(V313),"","'&gt;")</f>
        <v/>
      </c>
      <c r="X313" s="12" t="inlineStr">
        <is>
          <t>Supplemental</t>
        </is>
      </c>
      <c r="Y313" s="17">
        <f>IF(ISBLANK(X313),"","&lt;/a&gt;")</f>
        <v/>
      </c>
      <c r="Z313" s="42">
        <f>IF(ISBLANK(X313),"",IF(OR(AB313="PASSED",ISBLANK(N313)),"&lt;/b&gt;","&lt;/i&gt;"))</f>
        <v/>
      </c>
      <c r="AA313" s="43">
        <f>IF(AB313="PASSED","&lt;b&gt;","")</f>
        <v/>
      </c>
      <c r="AB313" s="45" t="inlineStr">
        <is>
          <t>INTRODUCED</t>
        </is>
      </c>
      <c r="AC313" s="43">
        <f>IF(AB313="PASSED","&lt;/b&gt;","")</f>
        <v/>
      </c>
      <c r="AD313" s="43">
        <f>IF(ISBLANK(AE313),"","&lt;b&gt;")</f>
        <v/>
      </c>
      <c r="AE313" s="51" t="inlineStr">
        <is>
          <t>02/20</t>
        </is>
      </c>
      <c r="AF313" s="42">
        <f>IF(ISBLANK(AE313),"",": ")</f>
        <v/>
      </c>
      <c r="AG313" s="42" t="inlineStr">
        <is>
          <t>FY 26 Deficiency Warrants</t>
        </is>
      </c>
      <c r="AH313" s="42">
        <f>IF(ISBLANK(AE313),"","&lt;/b&gt;")</f>
        <v/>
      </c>
      <c r="AI313" s="42" t="n"/>
      <c r="AJ313" s="42">
        <f>IF(ISBLANK(AI313),"","&lt;br&gt;"&amp;AI313)</f>
        <v/>
      </c>
      <c r="AK313" s="42" t="n"/>
      <c r="AL313" s="42" t="n"/>
      <c r="AM313" s="42" t="n"/>
      <c r="AN313" s="42">
        <f>IF(ISBLANK(AM313),"","&lt;/i&gt;")</f>
        <v/>
      </c>
      <c r="AO313" s="35">
        <f>IF(ISBLANK(AQ313),"","&lt;/b&gt;&lt;br&gt;&lt;br&gt;")</f>
        <v/>
      </c>
      <c r="AP313" s="42">
        <f>IF(ISBLANK(AQ313),"","&lt;b&gt;")</f>
        <v/>
      </c>
      <c r="AQ313" s="42" t="n"/>
      <c r="AR313" s="4" t="n"/>
      <c r="AS313" s="4">
        <f>IF(ISBLANK(AR313),""," %")</f>
        <v/>
      </c>
      <c r="AT313" s="4">
        <f t="array" ref="AT313">_xlfn.IFS(NOT(ISBLANK(AU313))," (pgs. ",NOT(ISBLANK(AS313))," (pg. ", ISBLANK(AS313), "")</f>
        <v/>
      </c>
      <c r="AU313" s="52" t="n"/>
      <c r="AV313" s="4">
        <f>IF(ISBLANK(AW313),"",", ")</f>
        <v/>
      </c>
      <c r="AW313" s="42" t="n"/>
      <c r="AX313" s="4">
        <f>IF(ISBLANK(AY313),"",",&lt;br&gt;")</f>
        <v/>
      </c>
      <c r="AY313" s="42" t="n"/>
      <c r="AZ313" s="49">
        <f>IF(ISBLANK(AU313),"",")&lt;/b&gt;")</f>
        <v/>
      </c>
      <c r="BA313" s="4">
        <f>IF(ISBLANK(BC313),"","&lt;br&gt;")</f>
        <v/>
      </c>
      <c r="BB313" s="42">
        <f t="array" ref="BB313">IF(ISBLANK(BC313),"",_xlfn.LET(
_xlpm.words,_xlfn.TEXTSPLIT(TRIM(BC313),"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13" s="50" t="n"/>
    </row>
    <row r="314">
      <c r="A314" s="20">
        <f>_xlfn.TEXTJOIN("", TRUE, F314:H314)</f>
        <v/>
      </c>
      <c r="B314" s="21">
        <f>_xlfn.TEXTJOIN("", TRUE, I314:S314)</f>
        <v/>
      </c>
      <c r="C314" s="21">
        <f>IF(ISBLANK(X314),"", _xlfn.TEXTJOIN("",TRUE,T314:Z314))</f>
        <v/>
      </c>
      <c r="D314" s="21">
        <f>IF(ISBLANK(AB314), "", _xlfn.TEXTJOIN("", TRUE, AA314:AC314))</f>
        <v/>
      </c>
      <c r="E314" s="22">
        <f>IF(AU314="NA", _xlfn.TEXTJOIN("", TRUE, AD314:AH314), _xlfn.TEXTJOIN("", TRUE, AD314:AJ314))</f>
        <v/>
      </c>
      <c r="F314" s="42">
        <f>IF(LEFT(G314,4)="FY26","&lt;b&gt;","&lt;i&gt;")</f>
        <v/>
      </c>
      <c r="G314" s="42" t="inlineStr">
        <is>
          <t>FY27 Enhancement</t>
        </is>
      </c>
      <c r="H314" s="42">
        <f>IF(LEFT(G314,4)="FY26","&lt;/b&gt;","&lt;/i&gt;")</f>
        <v/>
      </c>
      <c r="I314" s="43" t="inlineStr">
        <is>
          <t>&lt;i&gt;</t>
        </is>
      </c>
      <c r="J314" s="44" t="inlineStr">
        <is>
          <t>Constitutional Officers</t>
        </is>
      </c>
      <c r="K314" s="44" t="inlineStr">
        <is>
          <t>&lt;/i&gt;</t>
        </is>
      </c>
      <c r="L314" s="4">
        <f>IF(ISBLANK(N314),"","&lt;br&gt;")</f>
        <v/>
      </c>
      <c r="M314" s="42">
        <f>IF(ISBLANK(R314),"&lt;b&gt;","&lt;i&gt;")</f>
        <v/>
      </c>
      <c r="N314" s="42" t="inlineStr">
        <is>
          <t>Governor</t>
        </is>
      </c>
      <c r="O314" s="42">
        <f>IF(ISBLANK(R314),"&lt;/b&gt;","&lt;/i&gt;")</f>
        <v/>
      </c>
      <c r="P314" s="4">
        <f>IF(ISBLANK(R314),"","&lt;br&gt;")</f>
        <v/>
      </c>
      <c r="Q314" s="42">
        <f>IF(ISBLANK(R314),"","&lt;b&gt;")</f>
        <v/>
      </c>
      <c r="R314" s="42" t="n"/>
      <c r="S314" s="42">
        <f>IF(ISBLANK(R314),"","&lt;/i&gt;")</f>
        <v/>
      </c>
      <c r="T314" s="42">
        <f>IF(ISBLANK(X314),"",IF(OR(AB314="PASSED",ISBLANK(N314)),"&lt;b&gt;","&lt;i&gt;"))</f>
        <v/>
      </c>
      <c r="U314" s="3">
        <f>IF(ISBLANK(V314),"","&lt;a href='")</f>
        <v/>
      </c>
      <c r="V314" s="42" t="n"/>
      <c r="W314" s="17">
        <f>IF(ISBLANK(V314),"","'&gt;")</f>
        <v/>
      </c>
      <c r="X314" s="42" t="n"/>
      <c r="Y314" s="17">
        <f>IF(ISBLANK(X314),"","&lt;/a&gt;")</f>
        <v/>
      </c>
      <c r="Z314" s="42">
        <f>IF(ISBLANK(X314),"",IF(OR(AB314="PASSED",ISBLANK(N314)),"&lt;/b&gt;","&lt;/i&gt;"))</f>
        <v/>
      </c>
      <c r="AA314" s="43">
        <f>IF(AB314="PASSED","&lt;b&gt;","")</f>
        <v/>
      </c>
      <c r="AB314" s="45" t="inlineStr">
        <is>
          <t>—</t>
        </is>
      </c>
      <c r="AC314" s="43">
        <f>IF(AB314="PASSED","&lt;/b&gt;","")</f>
        <v/>
      </c>
      <c r="AD314" s="43">
        <f>IF(ISBLANK(AE314),"","&lt;b&gt;")</f>
        <v/>
      </c>
      <c r="AE314" s="42" t="n"/>
      <c r="AF314" s="42">
        <f>IF(ISBLANK(AE314),"",": ")</f>
        <v/>
      </c>
      <c r="AG314" s="42" t="inlineStr">
        <is>
          <t>Not Scheduled for Hearing</t>
        </is>
      </c>
      <c r="AH314" s="42">
        <f>IF(ISBLANK(AE314),"","&lt;/b&gt;")</f>
        <v/>
      </c>
      <c r="AI314" s="42" t="n"/>
      <c r="AJ314" s="42">
        <f>IF(ISBLANK(AI314),"","&lt;br&gt;"&amp;AI314)</f>
        <v/>
      </c>
      <c r="AK314" s="42" t="n"/>
      <c r="AL314" s="42" t="n"/>
      <c r="AM314" s="42" t="n"/>
      <c r="AN314" s="42">
        <f>IF(ISBLANK(AM314),"","&lt;/i&gt;")</f>
        <v/>
      </c>
      <c r="AO314" s="35">
        <f>IF(ISBLANK(AQ314),"","&lt;/b&gt;&lt;br&gt;&lt;br&gt;")</f>
        <v/>
      </c>
      <c r="AP314" s="42">
        <f>IF(ISBLANK(AQ314),"","&lt;b&gt;")</f>
        <v/>
      </c>
      <c r="AQ314" s="42" t="n"/>
      <c r="AR314" s="4" t="n"/>
      <c r="AS314" s="4">
        <f>IF(ISBLANK(AR314),""," %")</f>
        <v/>
      </c>
      <c r="AT314" s="4">
        <f t="array" ref="AT314">_xlfn.IFS(NOT(ISBLANK(AU314))," (pgs. ",NOT(ISBLANK(AS314))," (pg. ", ISBLANK(AS314), "")</f>
        <v/>
      </c>
      <c r="AU314" s="42" t="n"/>
      <c r="AV314" s="4">
        <f>IF(ISBLANK(AW314),"",", ")</f>
        <v/>
      </c>
      <c r="AW314" s="42" t="n"/>
      <c r="AX314" s="4">
        <f>IF(ISBLANK(AY314),"",",&lt;br&gt;")</f>
        <v/>
      </c>
      <c r="AY314" s="42" t="n"/>
      <c r="AZ314" s="49">
        <f>IF(ISBLANK(AU314),"",")&lt;/b&gt;")</f>
        <v/>
      </c>
      <c r="BA314" s="4">
        <f>IF(ISBLANK(BC314),"","&lt;br&gt;")</f>
        <v/>
      </c>
      <c r="BB314" s="42">
        <f t="array" ref="BB314">IF(ISBLANK(BC314),"",_xlfn.LET(
_xlpm.words,_xlfn.TEXTSPLIT(TRIM(BC314),"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14" s="50" t="n"/>
    </row>
    <row r="315">
      <c r="A315" s="20">
        <f>_xlfn.TEXTJOIN("", TRUE, F315:H315)</f>
        <v/>
      </c>
      <c r="B315" s="21">
        <f>_xlfn.TEXTJOIN("", TRUE, I315:S315)</f>
        <v/>
      </c>
      <c r="C315" s="21">
        <f>IF(ISBLANK(X315),"", _xlfn.TEXTJOIN("",TRUE,T315:Z315))</f>
        <v/>
      </c>
      <c r="D315" s="21">
        <f>IF(ISBLANK(AB315), "", _xlfn.TEXTJOIN("", TRUE, AA315:AC315))</f>
        <v/>
      </c>
      <c r="E315" s="22">
        <f>IF(AU315="NA", _xlfn.TEXTJOIN("", TRUE, AD315:AH315), _xlfn.TEXTJOIN("", TRUE, AD315:AJ315))</f>
        <v/>
      </c>
      <c r="F315" s="42">
        <f>IF(LEFT(G315,4)="FY26","&lt;b&gt;","&lt;i&gt;")</f>
        <v/>
      </c>
      <c r="G315" s="42" t="inlineStr">
        <is>
          <t>FY27 Enhancement</t>
        </is>
      </c>
      <c r="H315" s="42">
        <f>IF(LEFT(G315,4)="FY26","&lt;/b&gt;","&lt;/i&gt;")</f>
        <v/>
      </c>
      <c r="I315" s="43" t="inlineStr">
        <is>
          <t>&lt;i&gt;</t>
        </is>
      </c>
      <c r="J315" s="44" t="inlineStr">
        <is>
          <t>Constitutional Officers</t>
        </is>
      </c>
      <c r="K315" s="44" t="inlineStr">
        <is>
          <t>&lt;/i&gt;</t>
        </is>
      </c>
      <c r="L315" s="4">
        <f>IF(ISBLANK(N315),"","&lt;br&gt;")</f>
        <v/>
      </c>
      <c r="M315" s="42">
        <f>IF(ISBLANK(R315),"&lt;b&gt;","&lt;i&gt;")</f>
        <v/>
      </c>
      <c r="N315" s="42" t="inlineStr">
        <is>
          <t>Lieutenant Governor</t>
        </is>
      </c>
      <c r="O315" s="42">
        <f>IF(ISBLANK(R315),"&lt;/b&gt;","&lt;/i&gt;")</f>
        <v/>
      </c>
      <c r="P315" s="4">
        <f>IF(ISBLANK(R315),"","&lt;br&gt;")</f>
        <v/>
      </c>
      <c r="Q315" s="42">
        <f>IF(ISBLANK(R315),"","&lt;b&gt;")</f>
        <v/>
      </c>
      <c r="R315" s="42" t="n"/>
      <c r="S315" s="42">
        <f>IF(ISBLANK(R315),"","&lt;/i&gt;")</f>
        <v/>
      </c>
      <c r="T315" s="42">
        <f>IF(ISBLANK(X315),"",IF(OR(AB315="PASSED",ISBLANK(N315)),"&lt;b&gt;","&lt;i&gt;"))</f>
        <v/>
      </c>
      <c r="U315" s="3">
        <f>IF(ISBLANK(V315),"","&lt;a href='")</f>
        <v/>
      </c>
      <c r="V315" s="42" t="n"/>
      <c r="W315" s="17">
        <f>IF(ISBLANK(V315),"","'&gt;")</f>
        <v/>
      </c>
      <c r="X315" s="42" t="n"/>
      <c r="Y315" s="17">
        <f>IF(ISBLANK(X315),"","&lt;/a&gt;")</f>
        <v/>
      </c>
      <c r="Z315" s="42">
        <f>IF(ISBLANK(X315),"",IF(OR(AB315="PASSED",ISBLANK(N315)),"&lt;/b&gt;","&lt;/i&gt;"))</f>
        <v/>
      </c>
      <c r="AA315" s="43">
        <f>IF(AB315="PASSED","&lt;b&gt;","")</f>
        <v/>
      </c>
      <c r="AB315" s="45" t="inlineStr">
        <is>
          <t>—</t>
        </is>
      </c>
      <c r="AC315" s="43">
        <f>IF(AB315="PASSED","&lt;/b&gt;","")</f>
        <v/>
      </c>
      <c r="AD315" s="43">
        <f>IF(ISBLANK(AE315),"","&lt;b&gt;")</f>
        <v/>
      </c>
      <c r="AE315" s="42" t="n"/>
      <c r="AF315" s="42">
        <f>IF(ISBLANK(AE315),"",": ")</f>
        <v/>
      </c>
      <c r="AG315" s="42" t="inlineStr">
        <is>
          <t>Not Scheduled for Hearing</t>
        </is>
      </c>
      <c r="AH315" s="42">
        <f>IF(ISBLANK(AE315),"","&lt;/b&gt;")</f>
        <v/>
      </c>
      <c r="AI315" s="42" t="n"/>
      <c r="AJ315" s="42">
        <f>IF(ISBLANK(AI315),"","&lt;br&gt;"&amp;AI315)</f>
        <v/>
      </c>
      <c r="AK315" s="42" t="n"/>
      <c r="AL315" s="42" t="n"/>
      <c r="AM315" s="42" t="n"/>
      <c r="AN315" s="42">
        <f>IF(ISBLANK(AM315),"","&lt;/i&gt;")</f>
        <v/>
      </c>
      <c r="AO315" s="35">
        <f>IF(ISBLANK(AQ315),"","&lt;/b&gt;&lt;br&gt;&lt;br&gt;")</f>
        <v/>
      </c>
      <c r="AP315" s="42">
        <f>IF(ISBLANK(AQ315),"","&lt;b&gt;")</f>
        <v/>
      </c>
      <c r="AQ315" s="42" t="n"/>
      <c r="AR315" s="4" t="n"/>
      <c r="AS315" s="4">
        <f>IF(ISBLANK(AR315),""," %")</f>
        <v/>
      </c>
      <c r="AT315" s="4">
        <f t="array" ref="AT315">_xlfn.IFS(NOT(ISBLANK(AU315))," (pgs. ",NOT(ISBLANK(AS315))," (pg. ", ISBLANK(AS315), "")</f>
        <v/>
      </c>
      <c r="AU315" s="42" t="n"/>
      <c r="AV315" s="4">
        <f>IF(ISBLANK(AW315),"",", ")</f>
        <v/>
      </c>
      <c r="AW315" s="42" t="n"/>
      <c r="AX315" s="4">
        <f>IF(ISBLANK(AY315),"",",&lt;br&gt;")</f>
        <v/>
      </c>
      <c r="AY315" s="42" t="n"/>
      <c r="AZ315" s="49">
        <f>IF(ISBLANK(AU315),"",")&lt;/b&gt;")</f>
        <v/>
      </c>
      <c r="BA315" s="4">
        <f>IF(ISBLANK(BC315),"","&lt;br&gt;")</f>
        <v/>
      </c>
      <c r="BB315" s="42">
        <f t="array" ref="BB315">IF(ISBLANK(BC315),"",_xlfn.LET(
_xlpm.words,_xlfn.TEXTSPLIT(TRIM(BC315),"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15" s="50" t="n"/>
    </row>
    <row r="316">
      <c r="A316" s="20">
        <f>_xlfn.TEXTJOIN("", TRUE, F316:H316)</f>
        <v/>
      </c>
      <c r="B316" s="21">
        <f>_xlfn.TEXTJOIN("", TRUE, I316:S316)</f>
        <v/>
      </c>
      <c r="C316" s="21">
        <f>IF(ISBLANK(X316),"", _xlfn.TEXTJOIN("",TRUE,T316:Z316))</f>
        <v/>
      </c>
      <c r="D316" s="21">
        <f>IF(ISBLANK(AB316), "", _xlfn.TEXTJOIN("", TRUE, AA316:AC316))</f>
        <v/>
      </c>
      <c r="E316" s="22">
        <f>IF(AU316="NA", _xlfn.TEXTJOIN("", TRUE, AD316:AH316), _xlfn.TEXTJOIN("", TRUE, AD316:AJ316))</f>
        <v/>
      </c>
      <c r="F316" s="42">
        <f>IF(LEFT(G316,4)="FY26","&lt;b&gt;","&lt;i&gt;")</f>
        <v/>
      </c>
      <c r="G316" s="42" t="inlineStr">
        <is>
          <t>FY27 Enhancement</t>
        </is>
      </c>
      <c r="H316" s="42">
        <f>IF(LEFT(G316,4)="FY26","&lt;/b&gt;","&lt;/i&gt;")</f>
        <v/>
      </c>
      <c r="I316" s="43" t="inlineStr">
        <is>
          <t>&lt;i&gt;</t>
        </is>
      </c>
      <c r="J316" s="44" t="inlineStr">
        <is>
          <t>Constitutional Officers</t>
        </is>
      </c>
      <c r="K316" s="44" t="inlineStr">
        <is>
          <t>&lt;/i&gt;</t>
        </is>
      </c>
      <c r="L316" s="4">
        <f>IF(ISBLANK(N316),"","&lt;br&gt;")</f>
        <v/>
      </c>
      <c r="M316" s="42">
        <f>IF(ISBLANK(R316),"&lt;b&gt;","&lt;i&gt;")</f>
        <v/>
      </c>
      <c r="N316" s="42" t="inlineStr">
        <is>
          <t>State Controller</t>
        </is>
      </c>
      <c r="O316" s="42">
        <f>IF(ISBLANK(R316),"&lt;/b&gt;","&lt;/i&gt;")</f>
        <v/>
      </c>
      <c r="P316" s="4">
        <f>IF(ISBLANK(R316),"","&lt;br&gt;")</f>
        <v/>
      </c>
      <c r="Q316" s="42">
        <f>IF(ISBLANK(R316),"","&lt;b&gt;")</f>
        <v/>
      </c>
      <c r="R316" s="42" t="n"/>
      <c r="S316" s="42">
        <f>IF(ISBLANK(R316),"","&lt;/i&gt;")</f>
        <v/>
      </c>
      <c r="T316" s="42">
        <f>IF(ISBLANK(X316),"",IF(OR(AB316="PASSED",ISBLANK(N316)),"&lt;b&gt;","&lt;i&gt;"))</f>
        <v/>
      </c>
      <c r="U316" s="3">
        <f>IF(ISBLANK(V316),"","&lt;a href='")</f>
        <v/>
      </c>
      <c r="V316" s="42" t="n"/>
      <c r="W316" s="17">
        <f>IF(ISBLANK(V316),"","'&gt;")</f>
        <v/>
      </c>
      <c r="X316" s="42" t="n"/>
      <c r="Y316" s="17">
        <f>IF(ISBLANK(X316),"","&lt;/a&gt;")</f>
        <v/>
      </c>
      <c r="Z316" s="42">
        <f>IF(ISBLANK(X316),"",IF(OR(AB316="PASSED",ISBLANK(N316)),"&lt;/b&gt;","&lt;/i&gt;"))</f>
        <v/>
      </c>
      <c r="AA316" s="43">
        <f>IF(AB316="PASSED","&lt;b&gt;","")</f>
        <v/>
      </c>
      <c r="AB316" s="45" t="inlineStr">
        <is>
          <t>—</t>
        </is>
      </c>
      <c r="AC316" s="43">
        <f>IF(AB316="PASSED","&lt;/b&gt;","")</f>
        <v/>
      </c>
      <c r="AD316" s="43">
        <f>IF(ISBLANK(AE316),"","&lt;b&gt;")</f>
        <v/>
      </c>
      <c r="AE316" s="42" t="n"/>
      <c r="AF316" s="42">
        <f>IF(ISBLANK(AE316),"",": ")</f>
        <v/>
      </c>
      <c r="AG316" s="42" t="inlineStr">
        <is>
          <t>Not Scheduled for Hearing</t>
        </is>
      </c>
      <c r="AH316" s="42">
        <f>IF(ISBLANK(AE316),"","&lt;/b&gt;")</f>
        <v/>
      </c>
      <c r="AI316" s="42" t="n"/>
      <c r="AJ316" s="42">
        <f>IF(ISBLANK(AI316),"","&lt;br&gt;"&amp;AI316)</f>
        <v/>
      </c>
      <c r="AK316" s="42" t="n"/>
      <c r="AL316" s="42" t="n"/>
      <c r="AM316" s="42" t="n"/>
      <c r="AN316" s="42">
        <f>IF(ISBLANK(AM316),"","&lt;/i&gt;")</f>
        <v/>
      </c>
      <c r="AO316" s="35">
        <f>IF(ISBLANK(AQ316),"","&lt;/b&gt;&lt;br&gt;&lt;br&gt;")</f>
        <v/>
      </c>
      <c r="AP316" s="42">
        <f>IF(ISBLANK(AQ316),"","&lt;b&gt;")</f>
        <v/>
      </c>
      <c r="AQ316" s="42" t="n"/>
      <c r="AR316" s="4" t="n"/>
      <c r="AS316" s="4">
        <f>IF(ISBLANK(AR316),""," %")</f>
        <v/>
      </c>
      <c r="AT316" s="4">
        <f t="array" ref="AT316">_xlfn.IFS(NOT(ISBLANK(AU316))," (pgs. ",NOT(ISBLANK(AS316))," (pg. ", ISBLANK(AS316), "")</f>
        <v/>
      </c>
      <c r="AU316" s="42" t="n"/>
      <c r="AV316" s="4">
        <f>IF(ISBLANK(AW316),"",", ")</f>
        <v/>
      </c>
      <c r="AW316" s="42" t="n"/>
      <c r="AX316" s="4">
        <f>IF(ISBLANK(AY316),"",",&lt;br&gt;")</f>
        <v/>
      </c>
      <c r="AY316" s="42" t="n"/>
      <c r="AZ316" s="49">
        <f>IF(ISBLANK(AU316),"",")&lt;/b&gt;")</f>
        <v/>
      </c>
      <c r="BA316" s="4">
        <f>IF(ISBLANK(BC316),"","&lt;br&gt;")</f>
        <v/>
      </c>
      <c r="BB316" s="42">
        <f t="array" ref="BB316">IF(ISBLANK(BC316),"",_xlfn.LET(
_xlpm.words,_xlfn.TEXTSPLIT(TRIM(BC316),"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16" s="50" t="n"/>
    </row>
    <row r="317">
      <c r="A317" s="20">
        <f>_xlfn.TEXTJOIN("", TRUE, F317:H317)</f>
        <v/>
      </c>
      <c r="B317" s="21">
        <f>_xlfn.TEXTJOIN("", TRUE, I317:S317)</f>
        <v/>
      </c>
      <c r="C317" s="21">
        <f>IF(ISBLANK(X317),"", _xlfn.TEXTJOIN("",TRUE,T317:Z317))</f>
        <v/>
      </c>
      <c r="D317" s="21">
        <f>IF(ISBLANK(AB317), "", _xlfn.TEXTJOIN("", TRUE, AA317:AC317))</f>
        <v/>
      </c>
      <c r="E317" s="22">
        <f>IF(AU317="NA", _xlfn.TEXTJOIN("", TRUE, AD317:AH317), _xlfn.TEXTJOIN("", TRUE, AD317:AJ317))</f>
        <v/>
      </c>
      <c r="F317" s="42">
        <f>IF(LEFT(G317,4)="FY26","&lt;b&gt;","&lt;i&gt;")</f>
        <v/>
      </c>
      <c r="G317" s="42" t="inlineStr">
        <is>
          <t>FY27 Enhancement</t>
        </is>
      </c>
      <c r="H317" s="42">
        <f>IF(LEFT(G317,4)="FY26","&lt;/b&gt;","&lt;/i&gt;")</f>
        <v/>
      </c>
      <c r="I317" s="43" t="inlineStr">
        <is>
          <t>&lt;i&gt;</t>
        </is>
      </c>
      <c r="J317" s="44" t="inlineStr">
        <is>
          <t>Constitutional Officers</t>
        </is>
      </c>
      <c r="K317" s="44" t="inlineStr">
        <is>
          <t>&lt;/i&gt;</t>
        </is>
      </c>
      <c r="L317" s="4">
        <f>IF(ISBLANK(N317),"","&lt;br&gt;")</f>
        <v/>
      </c>
      <c r="M317" s="42">
        <f>IF(ISBLANK(R317),"&lt;b&gt;","&lt;i&gt;")</f>
        <v/>
      </c>
      <c r="N317" s="42" t="inlineStr">
        <is>
          <t>State Treasurer</t>
        </is>
      </c>
      <c r="O317" s="42">
        <f>IF(ISBLANK(R317),"&lt;/b&gt;","&lt;/i&gt;")</f>
        <v/>
      </c>
      <c r="P317" s="4">
        <f>IF(ISBLANK(R317),"","&lt;br&gt;")</f>
        <v/>
      </c>
      <c r="Q317" s="42">
        <f>IF(ISBLANK(R317),"","&lt;b&gt;")</f>
        <v/>
      </c>
      <c r="R317" s="42" t="n"/>
      <c r="S317" s="42">
        <f>IF(ISBLANK(R317),"","&lt;/i&gt;")</f>
        <v/>
      </c>
      <c r="T317" s="42">
        <f>IF(ISBLANK(X317),"",IF(OR(AB317="PASSED",ISBLANK(N317)),"&lt;b&gt;","&lt;i&gt;"))</f>
        <v/>
      </c>
      <c r="U317" s="3">
        <f>IF(ISBLANK(V317),"","&lt;a href='")</f>
        <v/>
      </c>
      <c r="V317" s="42" t="n"/>
      <c r="W317" s="17">
        <f>IF(ISBLANK(V317),"","'&gt;")</f>
        <v/>
      </c>
      <c r="X317" s="42" t="n"/>
      <c r="Y317" s="17">
        <f>IF(ISBLANK(X317),"","&lt;/a&gt;")</f>
        <v/>
      </c>
      <c r="Z317" s="42">
        <f>IF(ISBLANK(X317),"",IF(OR(AB317="PASSED",ISBLANK(N317)),"&lt;/b&gt;","&lt;/i&gt;"))</f>
        <v/>
      </c>
      <c r="AA317" s="43">
        <f>IF(AB317="PASSED","&lt;b&gt;","")</f>
        <v/>
      </c>
      <c r="AB317" s="45" t="inlineStr">
        <is>
          <t>—</t>
        </is>
      </c>
      <c r="AC317" s="43">
        <f>IF(AB317="PASSED","&lt;/b&gt;","")</f>
        <v/>
      </c>
      <c r="AD317" s="43">
        <f>IF(ISBLANK(AE317),"","&lt;b&gt;")</f>
        <v/>
      </c>
      <c r="AE317" s="42" t="n"/>
      <c r="AF317" s="42">
        <f>IF(ISBLANK(AE317),"",": ")</f>
        <v/>
      </c>
      <c r="AG317" s="42" t="inlineStr">
        <is>
          <t>Not Scheduled for Hearing</t>
        </is>
      </c>
      <c r="AH317" s="42">
        <f>IF(ISBLANK(AE317),"","&lt;/b&gt;")</f>
        <v/>
      </c>
      <c r="AI317" s="42" t="n"/>
      <c r="AJ317" s="42">
        <f>IF(ISBLANK(AI317),"","&lt;br&gt;"&amp;AI317)</f>
        <v/>
      </c>
      <c r="AK317" s="42" t="n"/>
      <c r="AL317" s="42" t="n"/>
      <c r="AM317" s="42" t="n"/>
      <c r="AN317" s="42">
        <f>IF(ISBLANK(AM317),"","&lt;/i&gt;")</f>
        <v/>
      </c>
      <c r="AO317" s="35">
        <f>IF(ISBLANK(AQ317),"","&lt;/b&gt;&lt;br&gt;&lt;br&gt;")</f>
        <v/>
      </c>
      <c r="AP317" s="42">
        <f>IF(ISBLANK(AQ317),"","&lt;b&gt;")</f>
        <v/>
      </c>
      <c r="AQ317" s="42" t="n"/>
      <c r="AR317" s="4" t="n"/>
      <c r="AS317" s="4">
        <f>IF(ISBLANK(AR317),""," %")</f>
        <v/>
      </c>
      <c r="AT317" s="4">
        <f t="array" ref="AT317">_xlfn.IFS(NOT(ISBLANK(AU317))," (pgs. ",NOT(ISBLANK(AS317))," (pg. ", ISBLANK(AS317), "")</f>
        <v/>
      </c>
      <c r="AU317" s="42" t="n"/>
      <c r="AV317" s="4">
        <f>IF(ISBLANK(AW317),"",", ")</f>
        <v/>
      </c>
      <c r="AW317" s="42" t="n"/>
      <c r="AX317" s="4">
        <f>IF(ISBLANK(AY317),"",",&lt;br&gt;")</f>
        <v/>
      </c>
      <c r="AY317" s="42" t="n"/>
      <c r="AZ317" s="49">
        <f>IF(ISBLANK(AU317),"",")&lt;/b&gt;")</f>
        <v/>
      </c>
      <c r="BA317" s="4">
        <f>IF(ISBLANK(BC317),"","&lt;br&gt;")</f>
        <v/>
      </c>
      <c r="BB317" s="42">
        <f t="array" ref="BB317">IF(ISBLANK(BC317),"",_xlfn.LET(
_xlpm.words,_xlfn.TEXTSPLIT(TRIM(BC317),"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17" s="50" t="n"/>
    </row>
    <row r="318">
      <c r="A318" s="20">
        <f>_xlfn.TEXTJOIN("", TRUE, F318:H318)</f>
        <v/>
      </c>
      <c r="B318" s="21">
        <f>_xlfn.TEXTJOIN("", TRUE, I318:S318)</f>
        <v/>
      </c>
      <c r="C318" s="21">
        <f>IF(ISBLANK(X318),"", _xlfn.TEXTJOIN("",TRUE,T318:Z318))</f>
        <v/>
      </c>
      <c r="D318" s="21">
        <f>IF(ISBLANK(AB318), "", _xlfn.TEXTJOIN("", TRUE, AA318:AC318))</f>
        <v/>
      </c>
      <c r="E318" s="22">
        <f>IF(AU318="NA", _xlfn.TEXTJOIN("", TRUE, AD318:AH318), _xlfn.TEXTJOIN("", TRUE, AD318:AJ318))</f>
        <v/>
      </c>
      <c r="F318" s="42">
        <f>IF(LEFT(G318,4)="FY26","&lt;b&gt;","&lt;i&gt;")</f>
        <v/>
      </c>
      <c r="G318" s="42" t="inlineStr">
        <is>
          <t>FY27 Enhancement</t>
        </is>
      </c>
      <c r="H318" s="42">
        <f>IF(LEFT(G318,4)="FY26","&lt;/b&gt;","&lt;/i&gt;")</f>
        <v/>
      </c>
      <c r="I318" s="43" t="inlineStr">
        <is>
          <t>&lt;i&gt;</t>
        </is>
      </c>
      <c r="J318" s="44" t="inlineStr">
        <is>
          <t>Economic Development</t>
        </is>
      </c>
      <c r="K318" s="44" t="inlineStr">
        <is>
          <t>&lt;/i&gt;</t>
        </is>
      </c>
      <c r="L318" s="4">
        <f>IF(ISBLANK(N318),"","&lt;br&gt;")</f>
        <v/>
      </c>
      <c r="M318" s="42">
        <f>IF(ISBLANK(R318),"&lt;b&gt;","&lt;i&gt;")</f>
        <v/>
      </c>
      <c r="N318" s="42" t="inlineStr">
        <is>
          <t>Dept. of Commerce</t>
        </is>
      </c>
      <c r="O318" s="42">
        <f>IF(ISBLANK(R318),"&lt;/b&gt;","&lt;/i&gt;")</f>
        <v/>
      </c>
      <c r="P318" s="4">
        <f>IF(ISBLANK(R318),"","&lt;br&gt;")</f>
        <v/>
      </c>
      <c r="Q318" s="42">
        <f>IF(ISBLANK(R318),"","&lt;b&gt;")</f>
        <v/>
      </c>
      <c r="R318" s="42" t="n"/>
      <c r="S318" s="42">
        <f>IF(ISBLANK(R318),"","&lt;/i&gt;")</f>
        <v/>
      </c>
      <c r="T318" s="42">
        <f>IF(ISBLANK(X318),"",IF(OR(AB318="PASSED",ISBLANK(N318)),"&lt;b&gt;","&lt;i&gt;"))</f>
        <v/>
      </c>
      <c r="U318" s="3">
        <f>IF(ISBLANK(V318),"","&lt;a href='")</f>
        <v/>
      </c>
      <c r="V318" s="42" t="n"/>
      <c r="W318" s="17">
        <f>IF(ISBLANK(V318),"","'&gt;")</f>
        <v/>
      </c>
      <c r="X318" s="42" t="n"/>
      <c r="Y318" s="17">
        <f>IF(ISBLANK(X318),"","&lt;/a&gt;")</f>
        <v/>
      </c>
      <c r="Z318" s="42">
        <f>IF(ISBLANK(X318),"",IF(OR(AB318="PASSED",ISBLANK(N318)),"&lt;/b&gt;","&lt;/i&gt;"))</f>
        <v/>
      </c>
      <c r="AA318" s="43">
        <f>IF(AB318="PASSED","&lt;b&gt;","")</f>
        <v/>
      </c>
      <c r="AB318" s="45" t="inlineStr">
        <is>
          <t>—</t>
        </is>
      </c>
      <c r="AC318" s="43">
        <f>IF(AB318="PASSED","&lt;/b&gt;","")</f>
        <v/>
      </c>
      <c r="AD318" s="43">
        <f>IF(ISBLANK(AE318),"","&lt;b&gt;")</f>
        <v/>
      </c>
      <c r="AE318" s="42" t="n"/>
      <c r="AF318" s="42">
        <f>IF(ISBLANK(AE318),"",": ")</f>
        <v/>
      </c>
      <c r="AG318" s="42" t="inlineStr">
        <is>
          <t>Not Scheduled for Hearing</t>
        </is>
      </c>
      <c r="AH318" s="42">
        <f>IF(ISBLANK(AE318),"","&lt;/b&gt;")</f>
        <v/>
      </c>
      <c r="AI318" s="42" t="n"/>
      <c r="AJ318" s="42">
        <f>IF(ISBLANK(AI318),"","&lt;br&gt;"&amp;AI318)</f>
        <v/>
      </c>
      <c r="AK318" s="42" t="n"/>
      <c r="AL318" s="42" t="n"/>
      <c r="AM318" s="42" t="n"/>
      <c r="AN318" s="42">
        <f>IF(ISBLANK(AM318),"","&lt;/i&gt;")</f>
        <v/>
      </c>
      <c r="AO318" s="35">
        <f>IF(ISBLANK(AQ318),"","&lt;/b&gt;&lt;br&gt;&lt;br&gt;")</f>
        <v/>
      </c>
      <c r="AP318" s="42">
        <f>IF(ISBLANK(AQ318),"","&lt;b&gt;")</f>
        <v/>
      </c>
      <c r="AQ318" s="42" t="n"/>
      <c r="AR318" s="4" t="n"/>
      <c r="AS318" s="4">
        <f>IF(ISBLANK(AR318),""," %")</f>
        <v/>
      </c>
      <c r="AT318" s="4">
        <f t="array" ref="AT318">_xlfn.IFS(NOT(ISBLANK(AU318))," (pgs. ",NOT(ISBLANK(AS318))," (pg. ", ISBLANK(AS318), "")</f>
        <v/>
      </c>
      <c r="AU318" s="42" t="n"/>
      <c r="AV318" s="4">
        <f>IF(ISBLANK(AW318),"",", ")</f>
        <v/>
      </c>
      <c r="AW318" s="42" t="n"/>
      <c r="AX318" s="4">
        <f>IF(ISBLANK(AY318),"",",&lt;br&gt;")</f>
        <v/>
      </c>
      <c r="AY318" s="42" t="n"/>
      <c r="AZ318" s="49">
        <f>IF(ISBLANK(AU318),"",")&lt;/b&gt;")</f>
        <v/>
      </c>
      <c r="BA318" s="4">
        <f>IF(ISBLANK(BC318),"","&lt;br&gt;")</f>
        <v/>
      </c>
      <c r="BB318" s="42">
        <f t="array" ref="BB318">IF(ISBLANK(BC318),"",_xlfn.LET(
_xlpm.words,_xlfn.TEXTSPLIT(TRIM(BC318),"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18" s="50" t="n"/>
    </row>
    <row r="319">
      <c r="A319" s="20">
        <f>_xlfn.TEXTJOIN("", TRUE, F319:H319)</f>
        <v/>
      </c>
      <c r="B319" s="21">
        <f>_xlfn.TEXTJOIN("", TRUE, I319:S319)</f>
        <v/>
      </c>
      <c r="C319" s="21">
        <f>IF(ISBLANK(X319),"", _xlfn.TEXTJOIN("",TRUE,T319:Z319))</f>
        <v/>
      </c>
      <c r="D319" s="21">
        <f>IF(ISBLANK(AB319), "", _xlfn.TEXTJOIN("", TRUE, AA319:AC319))</f>
        <v/>
      </c>
      <c r="E319" s="22">
        <f>IF(AU319="NA", _xlfn.TEXTJOIN("", TRUE, AD319:AH319), _xlfn.TEXTJOIN("", TRUE, AD319:AJ319))</f>
        <v/>
      </c>
      <c r="F319" s="42">
        <f>IF(LEFT(G319,4)="FY26","&lt;b&gt;","&lt;i&gt;")</f>
        <v/>
      </c>
      <c r="G319" s="42" t="inlineStr">
        <is>
          <t>FY27 Enhancement</t>
        </is>
      </c>
      <c r="H319" s="42">
        <f>IF(LEFT(G319,4)="FY26","&lt;/b&gt;","&lt;/i&gt;")</f>
        <v/>
      </c>
      <c r="I319" s="43" t="inlineStr">
        <is>
          <t>&lt;i&gt;</t>
        </is>
      </c>
      <c r="J319" s="44" t="inlineStr">
        <is>
          <t>Economic Development</t>
        </is>
      </c>
      <c r="K319" s="44" t="inlineStr">
        <is>
          <t>&lt;/i&gt;</t>
        </is>
      </c>
      <c r="L319" s="4">
        <f>IF(ISBLANK(N319),"","&lt;br&gt;")</f>
        <v/>
      </c>
      <c r="M319" s="42">
        <f>IF(ISBLANK(R319),"&lt;b&gt;","&lt;i&gt;")</f>
        <v/>
      </c>
      <c r="N319" s="42" t="inlineStr">
        <is>
          <t>Dept. of Finance</t>
        </is>
      </c>
      <c r="O319" s="42">
        <f>IF(ISBLANK(R319),"&lt;/b&gt;","&lt;/i&gt;")</f>
        <v/>
      </c>
      <c r="P319" s="4">
        <f>IF(ISBLANK(R319),"","&lt;br&gt;")</f>
        <v/>
      </c>
      <c r="Q319" s="42">
        <f>IF(ISBLANK(R319),"","&lt;b&gt;")</f>
        <v/>
      </c>
      <c r="R319" s="42" t="n"/>
      <c r="S319" s="42">
        <f>IF(ISBLANK(R319),"","&lt;/i&gt;")</f>
        <v/>
      </c>
      <c r="T319" s="42">
        <f>IF(ISBLANK(X319),"",IF(OR(AB319="PASSED",ISBLANK(N319)),"&lt;b&gt;","&lt;i&gt;"))</f>
        <v/>
      </c>
      <c r="U319" s="3">
        <f>IF(ISBLANK(V319),"","&lt;a href='")</f>
        <v/>
      </c>
      <c r="V319" s="42" t="n"/>
      <c r="W319" s="17">
        <f>IF(ISBLANK(V319),"","'&gt;")</f>
        <v/>
      </c>
      <c r="X319" s="42" t="n"/>
      <c r="Y319" s="17">
        <f>IF(ISBLANK(X319),"","&lt;/a&gt;")</f>
        <v/>
      </c>
      <c r="Z319" s="42">
        <f>IF(ISBLANK(X319),"",IF(OR(AB319="PASSED",ISBLANK(N319)),"&lt;/b&gt;","&lt;/i&gt;"))</f>
        <v/>
      </c>
      <c r="AA319" s="43">
        <f>IF(AB319="PASSED","&lt;b&gt;","")</f>
        <v/>
      </c>
      <c r="AB319" s="45" t="inlineStr">
        <is>
          <t>—</t>
        </is>
      </c>
      <c r="AC319" s="43">
        <f>IF(AB319="PASSED","&lt;/b&gt;","")</f>
        <v/>
      </c>
      <c r="AD319" s="43">
        <f>IF(ISBLANK(AE319),"","&lt;b&gt;")</f>
        <v/>
      </c>
      <c r="AE319" s="42" t="n"/>
      <c r="AF319" s="42">
        <f>IF(ISBLANK(AE319),"",": ")</f>
        <v/>
      </c>
      <c r="AG319" s="42" t="inlineStr">
        <is>
          <t>Not Scheduled for Hearing</t>
        </is>
      </c>
      <c r="AH319" s="42">
        <f>IF(ISBLANK(AE319),"","&lt;/b&gt;")</f>
        <v/>
      </c>
      <c r="AI319" s="42" t="n"/>
      <c r="AJ319" s="42">
        <f>IF(ISBLANK(AI319),"","&lt;br&gt;"&amp;AI319)</f>
        <v/>
      </c>
      <c r="AK319" s="42" t="n"/>
      <c r="AL319" s="42" t="n"/>
      <c r="AM319" s="42" t="n"/>
      <c r="AN319" s="42">
        <f>IF(ISBLANK(AM319),"","&lt;/i&gt;")</f>
        <v/>
      </c>
      <c r="AO319" s="35">
        <f>IF(ISBLANK(AQ319),"","&lt;/b&gt;&lt;br&gt;&lt;br&gt;")</f>
        <v/>
      </c>
      <c r="AP319" s="42">
        <f>IF(ISBLANK(AQ319),"","&lt;b&gt;")</f>
        <v/>
      </c>
      <c r="AQ319" s="42" t="n"/>
      <c r="AR319" s="4" t="n"/>
      <c r="AS319" s="4">
        <f>IF(ISBLANK(AR319),""," %")</f>
        <v/>
      </c>
      <c r="AT319" s="4">
        <f t="array" ref="AT319">_xlfn.IFS(NOT(ISBLANK(AU319))," (pgs. ",NOT(ISBLANK(AS319))," (pg. ", ISBLANK(AS319), "")</f>
        <v/>
      </c>
      <c r="AU319" s="42" t="n"/>
      <c r="AV319" s="4">
        <f>IF(ISBLANK(AW319),"",", ")</f>
        <v/>
      </c>
      <c r="AW319" s="42" t="n"/>
      <c r="AX319" s="4">
        <f>IF(ISBLANK(AY319),"",",&lt;br&gt;")</f>
        <v/>
      </c>
      <c r="AY319" s="42" t="n"/>
      <c r="AZ319" s="49">
        <f>IF(ISBLANK(AU319),"",")&lt;/b&gt;")</f>
        <v/>
      </c>
      <c r="BA319" s="4">
        <f>IF(ISBLANK(BC319),"","&lt;br&gt;")</f>
        <v/>
      </c>
      <c r="BB319" s="42">
        <f t="array" ref="BB319">IF(ISBLANK(BC319),"",_xlfn.LET(
_xlpm.words,_xlfn.TEXTSPLIT(TRIM(BC319),"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19" s="50" t="n"/>
    </row>
    <row r="320">
      <c r="A320" s="20">
        <f>_xlfn.TEXTJOIN("", TRUE, F320:H320)</f>
        <v/>
      </c>
      <c r="B320" s="21">
        <f>_xlfn.TEXTJOIN("", TRUE, I320:S320)</f>
        <v/>
      </c>
      <c r="C320" s="21">
        <f>IF(ISBLANK(X320),"", _xlfn.TEXTJOIN("",TRUE,T320:Z320))</f>
        <v/>
      </c>
      <c r="D320" s="21">
        <f>IF(ISBLANK(AB320), "", _xlfn.TEXTJOIN("", TRUE, AA320:AC320))</f>
        <v/>
      </c>
      <c r="E320" s="22">
        <f>IF(AU320="NA", _xlfn.TEXTJOIN("", TRUE, AD320:AH320), _xlfn.TEXTJOIN("", TRUE, AD320:AJ320))</f>
        <v/>
      </c>
      <c r="F320" s="42">
        <f>IF(LEFT(G320,4)="FY26","&lt;b&gt;","&lt;i&gt;")</f>
        <v/>
      </c>
      <c r="G320" s="42" t="inlineStr">
        <is>
          <t>FY27 Enhancement</t>
        </is>
      </c>
      <c r="H320" s="42">
        <f>IF(LEFT(G320,4)="FY26","&lt;/b&gt;","&lt;/i&gt;")</f>
        <v/>
      </c>
      <c r="I320" s="43" t="inlineStr">
        <is>
          <t>&lt;i&gt;</t>
        </is>
      </c>
      <c r="J320" s="44" t="inlineStr">
        <is>
          <t>Economic Development</t>
        </is>
      </c>
      <c r="K320" s="44" t="inlineStr">
        <is>
          <t>&lt;/i&gt;</t>
        </is>
      </c>
      <c r="L320" s="4">
        <f>IF(ISBLANK(N320),"","&lt;br&gt;")</f>
        <v/>
      </c>
      <c r="M320" s="42">
        <f>IF(ISBLANK(R320),"&lt;b&gt;","&lt;i&gt;")</f>
        <v/>
      </c>
      <c r="N320" s="42" t="inlineStr">
        <is>
          <t>Dept. of Insurance</t>
        </is>
      </c>
      <c r="O320" s="42">
        <f>IF(ISBLANK(R320),"&lt;/b&gt;","&lt;/i&gt;")</f>
        <v/>
      </c>
      <c r="P320" s="4">
        <f>IF(ISBLANK(R320),"","&lt;br&gt;")</f>
        <v/>
      </c>
      <c r="Q320" s="42">
        <f>IF(ISBLANK(R320),"","&lt;b&gt;")</f>
        <v/>
      </c>
      <c r="R320" s="42" t="n"/>
      <c r="S320" s="42">
        <f>IF(ISBLANK(R320),"","&lt;/i&gt;")</f>
        <v/>
      </c>
      <c r="T320" s="42">
        <f>IF(ISBLANK(X320),"",IF(OR(AB320="PASSED",ISBLANK(N320)),"&lt;b&gt;","&lt;i&gt;"))</f>
        <v/>
      </c>
      <c r="U320" s="3">
        <f>IF(ISBLANK(V320),"","&lt;a href='")</f>
        <v/>
      </c>
      <c r="V320" s="42" t="n"/>
      <c r="W320" s="17">
        <f>IF(ISBLANK(V320),"","'&gt;")</f>
        <v/>
      </c>
      <c r="X320" s="42" t="n"/>
      <c r="Y320" s="17">
        <f>IF(ISBLANK(X320),"","&lt;/a&gt;")</f>
        <v/>
      </c>
      <c r="Z320" s="42">
        <f>IF(ISBLANK(X320),"",IF(OR(AB320="PASSED",ISBLANK(N320)),"&lt;/b&gt;","&lt;/i&gt;"))</f>
        <v/>
      </c>
      <c r="AA320" s="43">
        <f>IF(AB320="PASSED","&lt;b&gt;","")</f>
        <v/>
      </c>
      <c r="AB320" s="45" t="inlineStr">
        <is>
          <t>—</t>
        </is>
      </c>
      <c r="AC320" s="43">
        <f>IF(AB320="PASSED","&lt;/b&gt;","")</f>
        <v/>
      </c>
      <c r="AD320" s="43">
        <f>IF(ISBLANK(AE320),"","&lt;b&gt;")</f>
        <v/>
      </c>
      <c r="AE320" s="42" t="n"/>
      <c r="AF320" s="42">
        <f>IF(ISBLANK(AE320),"",": ")</f>
        <v/>
      </c>
      <c r="AG320" s="42" t="inlineStr">
        <is>
          <t>Not Scheduled for Hearing</t>
        </is>
      </c>
      <c r="AH320" s="42">
        <f>IF(ISBLANK(AE320),"","&lt;/b&gt;")</f>
        <v/>
      </c>
      <c r="AI320" s="42" t="n"/>
      <c r="AJ320" s="42">
        <f>IF(ISBLANK(AI320),"","&lt;br&gt;"&amp;AI320)</f>
        <v/>
      </c>
      <c r="AK320" s="42" t="n"/>
      <c r="AL320" s="42" t="n"/>
      <c r="AM320" s="42" t="n"/>
      <c r="AN320" s="42">
        <f>IF(ISBLANK(AM320),"","&lt;/i&gt;")</f>
        <v/>
      </c>
      <c r="AO320" s="35">
        <f>IF(ISBLANK(AQ320),"","&lt;/b&gt;&lt;br&gt;&lt;br&gt;")</f>
        <v/>
      </c>
      <c r="AP320" s="42">
        <f>IF(ISBLANK(AQ320),"","&lt;b&gt;")</f>
        <v/>
      </c>
      <c r="AQ320" s="42" t="n"/>
      <c r="AR320" s="4" t="n"/>
      <c r="AS320" s="4">
        <f>IF(ISBLANK(AR320),""," %")</f>
        <v/>
      </c>
      <c r="AT320" s="4">
        <f t="array" ref="AT320">_xlfn.IFS(NOT(ISBLANK(AU320))," (pgs. ",NOT(ISBLANK(AS320))," (pg. ", ISBLANK(AS320), "")</f>
        <v/>
      </c>
      <c r="AU320" s="42" t="n"/>
      <c r="AV320" s="4">
        <f>IF(ISBLANK(AW320),"",", ")</f>
        <v/>
      </c>
      <c r="AW320" s="42" t="n"/>
      <c r="AX320" s="4">
        <f>IF(ISBLANK(AY320),"",",&lt;br&gt;")</f>
        <v/>
      </c>
      <c r="AY320" s="42" t="n"/>
      <c r="AZ320" s="49">
        <f>IF(ISBLANK(AU320),"",")&lt;/b&gt;")</f>
        <v/>
      </c>
      <c r="BA320" s="4">
        <f>IF(ISBLANK(BC320),"","&lt;br&gt;")</f>
        <v/>
      </c>
      <c r="BB320" s="42">
        <f t="array" ref="BB320">IF(ISBLANK(BC320),"",_xlfn.LET(
_xlpm.words,_xlfn.TEXTSPLIT(TRIM(BC320),"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20" s="50" t="n"/>
    </row>
    <row r="321">
      <c r="A321" s="20">
        <f>_xlfn.TEXTJOIN("", TRUE, F321:H321)</f>
        <v/>
      </c>
      <c r="B321" s="21">
        <f>_xlfn.TEXTJOIN("", TRUE, I321:S321)</f>
        <v/>
      </c>
      <c r="C321" s="21">
        <f>IF(ISBLANK(X321),"", _xlfn.TEXTJOIN("",TRUE,T321:Z321))</f>
        <v/>
      </c>
      <c r="D321" s="21">
        <f>IF(ISBLANK(AB321), "", _xlfn.TEXTJOIN("", TRUE, AA321:AC321))</f>
        <v/>
      </c>
      <c r="E321" s="22">
        <f>IF(AU321="NA", _xlfn.TEXTJOIN("", TRUE, AD321:AH321), _xlfn.TEXTJOIN("", TRUE, AD321:AJ321))</f>
        <v/>
      </c>
      <c r="F321" s="42">
        <f>IF(LEFT(G321,4)="FY26","&lt;b&gt;","&lt;i&gt;")</f>
        <v/>
      </c>
      <c r="G321" s="42" t="inlineStr">
        <is>
          <t>FY27 Enhancement</t>
        </is>
      </c>
      <c r="H321" s="42">
        <f>IF(LEFT(G321,4)="FY26","&lt;/b&gt;","&lt;/i&gt;")</f>
        <v/>
      </c>
      <c r="I321" s="43" t="inlineStr">
        <is>
          <t>&lt;i&gt;</t>
        </is>
      </c>
      <c r="J321" s="44" t="inlineStr">
        <is>
          <t>Economic Development</t>
        </is>
      </c>
      <c r="K321" s="44" t="inlineStr">
        <is>
          <t>&lt;/i&gt;</t>
        </is>
      </c>
      <c r="L321" s="4">
        <f>IF(ISBLANK(N321),"","&lt;br&gt;")</f>
        <v/>
      </c>
      <c r="M321" s="42">
        <f>IF(ISBLANK(R321),"&lt;b&gt;","&lt;i&gt;")</f>
        <v/>
      </c>
      <c r="N321" s="42" t="inlineStr">
        <is>
          <t>Dept. of Labor</t>
        </is>
      </c>
      <c r="O321" s="42">
        <f>IF(ISBLANK(R321),"&lt;/b&gt;","&lt;/i&gt;")</f>
        <v/>
      </c>
      <c r="P321" s="4">
        <f>IF(ISBLANK(R321),"","&lt;br&gt;")</f>
        <v/>
      </c>
      <c r="Q321" s="42">
        <f>IF(ISBLANK(R321),"","&lt;b&gt;")</f>
        <v/>
      </c>
      <c r="R321" s="42" t="n"/>
      <c r="S321" s="42">
        <f>IF(ISBLANK(R321),"","&lt;/i&gt;")</f>
        <v/>
      </c>
      <c r="T321" s="42">
        <f>IF(ISBLANK(X321),"",IF(OR(AB321="PASSED",ISBLANK(N321)),"&lt;b&gt;","&lt;i&gt;"))</f>
        <v/>
      </c>
      <c r="U321" s="3">
        <f>IF(ISBLANK(V321),"","&lt;a href='")</f>
        <v/>
      </c>
      <c r="V321" s="42" t="n"/>
      <c r="W321" s="17">
        <f>IF(ISBLANK(V321),"","'&gt;")</f>
        <v/>
      </c>
      <c r="X321" s="42" t="n"/>
      <c r="Y321" s="17">
        <f>IF(ISBLANK(X321),"","&lt;/a&gt;")</f>
        <v/>
      </c>
      <c r="Z321" s="42">
        <f>IF(ISBLANK(X321),"",IF(OR(AB321="PASSED",ISBLANK(N321)),"&lt;/b&gt;","&lt;/i&gt;"))</f>
        <v/>
      </c>
      <c r="AA321" s="43">
        <f>IF(AB321="PASSED","&lt;b&gt;","")</f>
        <v/>
      </c>
      <c r="AB321" s="45" t="inlineStr">
        <is>
          <t>—</t>
        </is>
      </c>
      <c r="AC321" s="43">
        <f>IF(AB321="PASSED","&lt;/b&gt;","")</f>
        <v/>
      </c>
      <c r="AD321" s="43">
        <f>IF(ISBLANK(AE321),"","&lt;b&gt;")</f>
        <v/>
      </c>
      <c r="AE321" s="42" t="n"/>
      <c r="AF321" s="42">
        <f>IF(ISBLANK(AE321),"",": ")</f>
        <v/>
      </c>
      <c r="AG321" s="42" t="inlineStr">
        <is>
          <t>Not Scheduled for Hearing</t>
        </is>
      </c>
      <c r="AH321" s="42">
        <f>IF(ISBLANK(AE321),"","&lt;/b&gt;")</f>
        <v/>
      </c>
      <c r="AI321" s="42" t="n"/>
      <c r="AJ321" s="42">
        <f>IF(ISBLANK(AI321),"","&lt;br&gt;"&amp;AI321)</f>
        <v/>
      </c>
      <c r="AK321" s="42" t="n"/>
      <c r="AL321" s="42" t="n"/>
      <c r="AM321" s="42" t="n"/>
      <c r="AN321" s="42">
        <f>IF(ISBLANK(AM321),"","&lt;/i&gt;")</f>
        <v/>
      </c>
      <c r="AO321" s="35">
        <f>IF(ISBLANK(AQ321),"","&lt;/b&gt;&lt;br&gt;&lt;br&gt;")</f>
        <v/>
      </c>
      <c r="AP321" s="42">
        <f>IF(ISBLANK(AQ321),"","&lt;b&gt;")</f>
        <v/>
      </c>
      <c r="AQ321" s="42" t="n"/>
      <c r="AR321" s="4" t="n"/>
      <c r="AS321" s="4">
        <f>IF(ISBLANK(AR321),""," %")</f>
        <v/>
      </c>
      <c r="AT321" s="4">
        <f t="array" ref="AT321">_xlfn.IFS(NOT(ISBLANK(AU321))," (pgs. ",NOT(ISBLANK(AS321))," (pg. ", ISBLANK(AS321), "")</f>
        <v/>
      </c>
      <c r="AU321" s="42" t="n"/>
      <c r="AV321" s="4">
        <f>IF(ISBLANK(AW321),"",", ")</f>
        <v/>
      </c>
      <c r="AW321" s="42" t="n"/>
      <c r="AX321" s="4">
        <f>IF(ISBLANK(AY321),"",",&lt;br&gt;")</f>
        <v/>
      </c>
      <c r="AY321" s="42" t="n"/>
      <c r="AZ321" s="49">
        <f>IF(ISBLANK(AU321),"",")&lt;/b&gt;")</f>
        <v/>
      </c>
      <c r="BA321" s="4">
        <f>IF(ISBLANK(BC321),"","&lt;br&gt;")</f>
        <v/>
      </c>
      <c r="BB321" s="42">
        <f t="array" ref="BB321">IF(ISBLANK(BC321),"",_xlfn.LET(
_xlpm.words,_xlfn.TEXTSPLIT(TRIM(BC321),"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21" s="50" t="n"/>
    </row>
    <row r="322">
      <c r="A322" s="20">
        <f>_xlfn.TEXTJOIN("", TRUE, F322:H322)</f>
        <v/>
      </c>
      <c r="B322" s="21">
        <f>_xlfn.TEXTJOIN("", TRUE, I322:S322)</f>
        <v/>
      </c>
      <c r="C322" s="21">
        <f>IF(ISBLANK(X322),"", _xlfn.TEXTJOIN("",TRUE,T322:Z322))</f>
        <v/>
      </c>
      <c r="D322" s="21">
        <f>IF(ISBLANK(AB322), "", _xlfn.TEXTJOIN("", TRUE, AA322:AC322))</f>
        <v/>
      </c>
      <c r="E322" s="22">
        <f>IF(AU322="NA", _xlfn.TEXTJOIN("", TRUE, AD322:AH322), _xlfn.TEXTJOIN("", TRUE, AD322:AJ322))</f>
        <v/>
      </c>
      <c r="F322" s="42">
        <f>IF(LEFT(G322,4)="FY26","&lt;b&gt;","&lt;i&gt;")</f>
        <v/>
      </c>
      <c r="G322" s="42" t="inlineStr">
        <is>
          <t>FY27 Enhancement</t>
        </is>
      </c>
      <c r="H322" s="42">
        <f>IF(LEFT(G322,4)="FY26","&lt;/b&gt;","&lt;/i&gt;")</f>
        <v/>
      </c>
      <c r="I322" s="43" t="inlineStr">
        <is>
          <t>&lt;i&gt;</t>
        </is>
      </c>
      <c r="J322" s="44" t="inlineStr">
        <is>
          <t>Economic Development</t>
        </is>
      </c>
      <c r="K322" s="44" t="inlineStr">
        <is>
          <t>&lt;/i&gt;</t>
        </is>
      </c>
      <c r="L322" s="4">
        <f>IF(ISBLANK(N322),"","&lt;br&gt;")</f>
        <v/>
      </c>
      <c r="M322" s="42">
        <f>IF(ISBLANK(R322),"&lt;b&gt;","&lt;i&gt;")</f>
        <v/>
      </c>
      <c r="N322" s="42" t="inlineStr">
        <is>
          <t>Dept. of Self-Governing Agencies</t>
        </is>
      </c>
      <c r="O322" s="42">
        <f>IF(ISBLANK(R322),"&lt;/b&gt;","&lt;/i&gt;")</f>
        <v/>
      </c>
      <c r="P322" s="4">
        <f>IF(ISBLANK(R322),"","&lt;br&gt;")</f>
        <v/>
      </c>
      <c r="Q322" s="42">
        <f>IF(ISBLANK(R322),"","&lt;b&gt;")</f>
        <v/>
      </c>
      <c r="R322" s="42" t="inlineStr">
        <is>
          <t>Comm. for Libraries</t>
        </is>
      </c>
      <c r="S322" s="42">
        <f>IF(ISBLANK(R322),"","&lt;/i&gt;")</f>
        <v/>
      </c>
      <c r="T322" s="42">
        <f>IF(ISBLANK(X322),"",IF(OR(AB322="PASSED",ISBLANK(N322)),"&lt;b&gt;","&lt;i&gt;"))</f>
        <v/>
      </c>
      <c r="U322" s="3">
        <f>IF(ISBLANK(V322),"","&lt;a href='")</f>
        <v/>
      </c>
      <c r="V322" s="42" t="n"/>
      <c r="W322" s="17">
        <f>IF(ISBLANK(V322),"","'&gt;")</f>
        <v/>
      </c>
      <c r="X322" s="42" t="n"/>
      <c r="Y322" s="17">
        <f>IF(ISBLANK(X322),"","&lt;/a&gt;")</f>
        <v/>
      </c>
      <c r="Z322" s="42">
        <f>IF(ISBLANK(X322),"",IF(OR(AB322="PASSED",ISBLANK(N322)),"&lt;/b&gt;","&lt;/i&gt;"))</f>
        <v/>
      </c>
      <c r="AA322" s="43">
        <f>IF(AB322="PASSED","&lt;b&gt;","")</f>
        <v/>
      </c>
      <c r="AB322" s="45" t="inlineStr">
        <is>
          <t>—</t>
        </is>
      </c>
      <c r="AC322" s="43">
        <f>IF(AB322="PASSED","&lt;/b&gt;","")</f>
        <v/>
      </c>
      <c r="AD322" s="43">
        <f>IF(ISBLANK(AE322),"","&lt;b&gt;")</f>
        <v/>
      </c>
      <c r="AE322" s="42" t="n"/>
      <c r="AF322" s="42">
        <f>IF(ISBLANK(AE322),"",": ")</f>
        <v/>
      </c>
      <c r="AG322" s="42" t="inlineStr">
        <is>
          <t>Not Scheduled for Hearing</t>
        </is>
      </c>
      <c r="AH322" s="42">
        <f>IF(ISBLANK(AE322),"","&lt;/b&gt;")</f>
        <v/>
      </c>
      <c r="AI322" s="42" t="n"/>
      <c r="AJ322" s="42">
        <f>IF(ISBLANK(AI322),"","&lt;br&gt;"&amp;AI322)</f>
        <v/>
      </c>
      <c r="AK322" s="42" t="n"/>
      <c r="AL322" s="42" t="n"/>
      <c r="AM322" s="42" t="n"/>
      <c r="AN322" s="42">
        <f>IF(ISBLANK(AM322),"","&lt;/i&gt;")</f>
        <v/>
      </c>
      <c r="AO322" s="35">
        <f>IF(ISBLANK(AQ322),"","&lt;/b&gt;&lt;br&gt;&lt;br&gt;")</f>
        <v/>
      </c>
      <c r="AP322" s="42">
        <f>IF(ISBLANK(AQ322),"","&lt;b&gt;")</f>
        <v/>
      </c>
      <c r="AQ322" s="42" t="n"/>
      <c r="AR322" s="4" t="n"/>
      <c r="AS322" s="4">
        <f>IF(ISBLANK(AR322),""," %")</f>
        <v/>
      </c>
      <c r="AT322" s="4">
        <f t="array" ref="AT322">_xlfn.IFS(NOT(ISBLANK(AU322))," (pgs. ",NOT(ISBLANK(AS322))," (pg. ", ISBLANK(AS322), "")</f>
        <v/>
      </c>
      <c r="AU322" s="42" t="n"/>
      <c r="AV322" s="4">
        <f>IF(ISBLANK(AW322),"",", ")</f>
        <v/>
      </c>
      <c r="AW322" s="42" t="n"/>
      <c r="AX322" s="4">
        <f>IF(ISBLANK(AY322),"",",&lt;br&gt;")</f>
        <v/>
      </c>
      <c r="AY322" s="42" t="n"/>
      <c r="AZ322" s="49">
        <f>IF(ISBLANK(AU322),"",")&lt;/b&gt;")</f>
        <v/>
      </c>
      <c r="BA322" s="4">
        <f>IF(ISBLANK(BC322),"","&lt;br&gt;")</f>
        <v/>
      </c>
      <c r="BB322" s="42">
        <f t="array" ref="BB322">IF(ISBLANK(BC322),"",_xlfn.LET(
_xlpm.words,_xlfn.TEXTSPLIT(TRIM(BC322),"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22" s="50" t="n"/>
    </row>
    <row r="323">
      <c r="A323" s="20">
        <f>_xlfn.TEXTJOIN("", TRUE, F323:H323)</f>
        <v/>
      </c>
      <c r="B323" s="21">
        <f>_xlfn.TEXTJOIN("", TRUE, I323:S323)</f>
        <v/>
      </c>
      <c r="C323" s="21">
        <f>IF(ISBLANK(X323),"", _xlfn.TEXTJOIN("",TRUE,T323:Z323))</f>
        <v/>
      </c>
      <c r="D323" s="21">
        <f>IF(ISBLANK(AB323), "", _xlfn.TEXTJOIN("", TRUE, AA323:AC323))</f>
        <v/>
      </c>
      <c r="E323" s="22">
        <f>IF(AU323="NA", _xlfn.TEXTJOIN("", TRUE, AD323:AH323), _xlfn.TEXTJOIN("", TRUE, AD323:AJ323))</f>
        <v/>
      </c>
      <c r="F323" s="42">
        <f>IF(LEFT(G323,4)="FY26","&lt;b&gt;","&lt;i&gt;")</f>
        <v/>
      </c>
      <c r="G323" s="42" t="inlineStr">
        <is>
          <t>FY27 Enhancement</t>
        </is>
      </c>
      <c r="H323" s="42">
        <f>IF(LEFT(G323,4)="FY26","&lt;/b&gt;","&lt;/i&gt;")</f>
        <v/>
      </c>
      <c r="I323" s="43" t="inlineStr">
        <is>
          <t>&lt;i&gt;</t>
        </is>
      </c>
      <c r="J323" s="44" t="inlineStr">
        <is>
          <t>Economic Development</t>
        </is>
      </c>
      <c r="K323" s="44" t="inlineStr">
        <is>
          <t>&lt;/i&gt;</t>
        </is>
      </c>
      <c r="L323" s="4">
        <f>IF(ISBLANK(N323),"","&lt;br&gt;")</f>
        <v/>
      </c>
      <c r="M323" s="42">
        <f>IF(ISBLANK(R323),"&lt;b&gt;","&lt;i&gt;")</f>
        <v/>
      </c>
      <c r="N323" s="42" t="inlineStr">
        <is>
          <t>Dept. of Self-Governing Agencies</t>
        </is>
      </c>
      <c r="O323" s="42">
        <f>IF(ISBLANK(R323),"&lt;/b&gt;","&lt;/i&gt;")</f>
        <v/>
      </c>
      <c r="P323" s="4">
        <f>IF(ISBLANK(R323),"","&lt;br&gt;")</f>
        <v/>
      </c>
      <c r="Q323" s="42">
        <f>IF(ISBLANK(R323),"","&lt;b&gt;")</f>
        <v/>
      </c>
      <c r="R323" s="42" t="inlineStr">
        <is>
          <t>Comm. on Hispanic Affairs</t>
        </is>
      </c>
      <c r="S323" s="42">
        <f>IF(ISBLANK(R323),"","&lt;/i&gt;")</f>
        <v/>
      </c>
      <c r="T323" s="42">
        <f>IF(ISBLANK(X323),"",IF(OR(AB323="PASSED",ISBLANK(N323)),"&lt;b&gt;","&lt;i&gt;"))</f>
        <v/>
      </c>
      <c r="U323" s="3">
        <f>IF(ISBLANK(V323),"","&lt;a href='")</f>
        <v/>
      </c>
      <c r="V323" s="42" t="n"/>
      <c r="W323" s="17">
        <f>IF(ISBLANK(V323),"","'&gt;")</f>
        <v/>
      </c>
      <c r="X323" s="42" t="n"/>
      <c r="Y323" s="17">
        <f>IF(ISBLANK(X323),"","&lt;/a&gt;")</f>
        <v/>
      </c>
      <c r="Z323" s="42">
        <f>IF(ISBLANK(X323),"",IF(OR(AB323="PASSED",ISBLANK(N323)),"&lt;/b&gt;","&lt;/i&gt;"))</f>
        <v/>
      </c>
      <c r="AA323" s="43">
        <f>IF(AB323="PASSED","&lt;b&gt;","")</f>
        <v/>
      </c>
      <c r="AB323" s="45" t="inlineStr">
        <is>
          <t>—</t>
        </is>
      </c>
      <c r="AC323" s="43">
        <f>IF(AB323="PASSED","&lt;/b&gt;","")</f>
        <v/>
      </c>
      <c r="AD323" s="43">
        <f>IF(ISBLANK(AE323),"","&lt;b&gt;")</f>
        <v/>
      </c>
      <c r="AE323" s="42" t="n"/>
      <c r="AF323" s="42">
        <f>IF(ISBLANK(AE323),"",": ")</f>
        <v/>
      </c>
      <c r="AG323" s="42" t="inlineStr">
        <is>
          <t>Not Scheduled for Hearing</t>
        </is>
      </c>
      <c r="AH323" s="42">
        <f>IF(ISBLANK(AE323),"","&lt;/b&gt;")</f>
        <v/>
      </c>
      <c r="AI323" s="42" t="n"/>
      <c r="AJ323" s="42">
        <f>IF(ISBLANK(AI323),"","&lt;br&gt;"&amp;AI323)</f>
        <v/>
      </c>
      <c r="AK323" s="42" t="n"/>
      <c r="AL323" s="42" t="n"/>
      <c r="AM323" s="42" t="n"/>
      <c r="AN323" s="42">
        <f>IF(ISBLANK(AM323),"","&lt;/i&gt;")</f>
        <v/>
      </c>
      <c r="AO323" s="35">
        <f>IF(ISBLANK(AQ323),"","&lt;/b&gt;&lt;br&gt;&lt;br&gt;")</f>
        <v/>
      </c>
      <c r="AP323" s="42">
        <f>IF(ISBLANK(AQ323),"","&lt;b&gt;")</f>
        <v/>
      </c>
      <c r="AQ323" s="42" t="n"/>
      <c r="AR323" s="4" t="n"/>
      <c r="AS323" s="4">
        <f>IF(ISBLANK(AR323),""," %")</f>
        <v/>
      </c>
      <c r="AT323" s="4">
        <f t="array" ref="AT323">_xlfn.IFS(NOT(ISBLANK(AU323))," (pgs. ",NOT(ISBLANK(AS323))," (pg. ", ISBLANK(AS323), "")</f>
        <v/>
      </c>
      <c r="AU323" s="42" t="n"/>
      <c r="AV323" s="4">
        <f>IF(ISBLANK(AW323),"",", ")</f>
        <v/>
      </c>
      <c r="AW323" s="42" t="n"/>
      <c r="AX323" s="4">
        <f>IF(ISBLANK(AY323),"",",&lt;br&gt;")</f>
        <v/>
      </c>
      <c r="AY323" s="42" t="n"/>
      <c r="AZ323" s="49">
        <f>IF(ISBLANK(AU323),"",")&lt;/b&gt;")</f>
        <v/>
      </c>
      <c r="BA323" s="4">
        <f>IF(ISBLANK(BC323),"","&lt;br&gt;")</f>
        <v/>
      </c>
      <c r="BB323" s="42">
        <f t="array" ref="BB323">IF(ISBLANK(BC323),"",_xlfn.LET(
_xlpm.words,_xlfn.TEXTSPLIT(TRIM(BC323),"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23" s="50" t="n"/>
    </row>
    <row r="324">
      <c r="A324" s="20">
        <f>_xlfn.TEXTJOIN("", TRUE, F324:H324)</f>
        <v/>
      </c>
      <c r="B324" s="21">
        <f>_xlfn.TEXTJOIN("", TRUE, I324:S324)</f>
        <v/>
      </c>
      <c r="C324" s="21">
        <f>IF(ISBLANK(X324),"", _xlfn.TEXTJOIN("",TRUE,T324:Z324))</f>
        <v/>
      </c>
      <c r="D324" s="21">
        <f>IF(ISBLANK(AB324), "", _xlfn.TEXTJOIN("", TRUE, AA324:AC324))</f>
        <v/>
      </c>
      <c r="E324" s="22">
        <f>IF(AU324="NA", _xlfn.TEXTJOIN("", TRUE, AD324:AH324), _xlfn.TEXTJOIN("", TRUE, AD324:AJ324))</f>
        <v/>
      </c>
      <c r="F324" s="42">
        <f>IF(LEFT(G324,4)="FY26","&lt;b&gt;","&lt;i&gt;")</f>
        <v/>
      </c>
      <c r="G324" s="42" t="inlineStr">
        <is>
          <t>FY27 Enhancement</t>
        </is>
      </c>
      <c r="H324" s="42">
        <f>IF(LEFT(G324,4)="FY26","&lt;/b&gt;","&lt;/i&gt;")</f>
        <v/>
      </c>
      <c r="I324" s="43" t="inlineStr">
        <is>
          <t>&lt;i&gt;</t>
        </is>
      </c>
      <c r="J324" s="44" t="inlineStr">
        <is>
          <t>Economic Development</t>
        </is>
      </c>
      <c r="K324" s="44" t="inlineStr">
        <is>
          <t>&lt;/i&gt;</t>
        </is>
      </c>
      <c r="L324" s="4">
        <f>IF(ISBLANK(N324),"","&lt;br&gt;")</f>
        <v/>
      </c>
      <c r="M324" s="42">
        <f>IF(ISBLANK(R324),"&lt;b&gt;","&lt;i&gt;")</f>
        <v/>
      </c>
      <c r="N324" s="42" t="inlineStr">
        <is>
          <t>Dept. of Self-Governing Agencies</t>
        </is>
      </c>
      <c r="O324" s="42">
        <f>IF(ISBLANK(R324),"&lt;/b&gt;","&lt;/i&gt;")</f>
        <v/>
      </c>
      <c r="P324" s="4">
        <f>IF(ISBLANK(R324),"","&lt;br&gt;")</f>
        <v/>
      </c>
      <c r="Q324" s="42">
        <f>IF(ISBLANK(R324),"","&lt;b&gt;")</f>
        <v/>
      </c>
      <c r="R324" s="42" t="inlineStr">
        <is>
          <t>Office of Administrative Hearings</t>
        </is>
      </c>
      <c r="S324" s="42">
        <f>IF(ISBLANK(R324),"","&lt;/i&gt;")</f>
        <v/>
      </c>
      <c r="T324" s="42">
        <f>IF(ISBLANK(X324),"",IF(OR(AB324="PASSED",ISBLANK(N324)),"&lt;b&gt;","&lt;i&gt;"))</f>
        <v/>
      </c>
      <c r="U324" s="3">
        <f>IF(ISBLANK(V324),"","&lt;a href='")</f>
        <v/>
      </c>
      <c r="V324" s="42" t="n"/>
      <c r="W324" s="17">
        <f>IF(ISBLANK(V324),"","'&gt;")</f>
        <v/>
      </c>
      <c r="X324" s="42" t="n"/>
      <c r="Y324" s="17">
        <f>IF(ISBLANK(X324),"","&lt;/a&gt;")</f>
        <v/>
      </c>
      <c r="Z324" s="42">
        <f>IF(ISBLANK(X324),"",IF(OR(AB324="PASSED",ISBLANK(N324)),"&lt;/b&gt;","&lt;/i&gt;"))</f>
        <v/>
      </c>
      <c r="AA324" s="43">
        <f>IF(AB324="PASSED","&lt;b&gt;","")</f>
        <v/>
      </c>
      <c r="AB324" s="45" t="inlineStr">
        <is>
          <t>—</t>
        </is>
      </c>
      <c r="AC324" s="43">
        <f>IF(AB324="PASSED","&lt;/b&gt;","")</f>
        <v/>
      </c>
      <c r="AD324" s="43">
        <f>IF(ISBLANK(AE324),"","&lt;b&gt;")</f>
        <v/>
      </c>
      <c r="AE324" s="42" t="n"/>
      <c r="AF324" s="42">
        <f>IF(ISBLANK(AE324),"",": ")</f>
        <v/>
      </c>
      <c r="AG324" s="42" t="inlineStr">
        <is>
          <t>Not Scheduled for Hearing</t>
        </is>
      </c>
      <c r="AH324" s="42">
        <f>IF(ISBLANK(AE324),"","&lt;/b&gt;")</f>
        <v/>
      </c>
      <c r="AI324" s="42" t="n"/>
      <c r="AJ324" s="42">
        <f>IF(ISBLANK(AI324),"","&lt;br&gt;"&amp;AI324)</f>
        <v/>
      </c>
      <c r="AK324" s="42" t="n"/>
      <c r="AL324" s="42" t="n"/>
      <c r="AM324" s="42" t="n"/>
      <c r="AN324" s="42">
        <f>IF(ISBLANK(AM324),"","&lt;/i&gt;")</f>
        <v/>
      </c>
      <c r="AO324" s="35">
        <f>IF(ISBLANK(AQ324),"","&lt;/b&gt;&lt;br&gt;&lt;br&gt;")</f>
        <v/>
      </c>
      <c r="AP324" s="42">
        <f>IF(ISBLANK(AQ324),"","&lt;b&gt;")</f>
        <v/>
      </c>
      <c r="AQ324" s="42" t="n"/>
      <c r="AR324" s="4" t="n"/>
      <c r="AS324" s="4">
        <f>IF(ISBLANK(AR324),""," %")</f>
        <v/>
      </c>
      <c r="AT324" s="4">
        <f t="array" ref="AT324">_xlfn.IFS(NOT(ISBLANK(AU324))," (pgs. ",NOT(ISBLANK(AS324))," (pg. ", ISBLANK(AS324), "")</f>
        <v/>
      </c>
      <c r="AU324" s="42" t="n"/>
      <c r="AV324" s="4">
        <f>IF(ISBLANK(AW324),"",", ")</f>
        <v/>
      </c>
      <c r="AW324" s="42" t="n"/>
      <c r="AX324" s="4">
        <f>IF(ISBLANK(AY324),"",",&lt;br&gt;")</f>
        <v/>
      </c>
      <c r="AY324" s="42" t="n"/>
      <c r="AZ324" s="49">
        <f>IF(ISBLANK(AU324),"",")&lt;/b&gt;")</f>
        <v/>
      </c>
      <c r="BA324" s="4">
        <f>IF(ISBLANK(BC324),"","&lt;br&gt;")</f>
        <v/>
      </c>
      <c r="BB324" s="42">
        <f t="array" ref="BB324">IF(ISBLANK(BC324),"",_xlfn.LET(
_xlpm.words,_xlfn.TEXTSPLIT(TRIM(BC324),"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24" s="50" t="n"/>
    </row>
    <row r="325">
      <c r="A325" s="20">
        <f>_xlfn.TEXTJOIN("", TRUE, F325:H325)</f>
        <v/>
      </c>
      <c r="B325" s="21">
        <f>_xlfn.TEXTJOIN("", TRUE, I325:S325)</f>
        <v/>
      </c>
      <c r="C325" s="21">
        <f>IF(ISBLANK(X325),"", _xlfn.TEXTJOIN("",TRUE,T325:Z325))</f>
        <v/>
      </c>
      <c r="D325" s="21">
        <f>IF(ISBLANK(AB325), "", _xlfn.TEXTJOIN("", TRUE, AA325:AC325))</f>
        <v/>
      </c>
      <c r="E325" s="22">
        <f>IF(AU325="NA", _xlfn.TEXTJOIN("", TRUE, AD325:AH325), _xlfn.TEXTJOIN("", TRUE, AD325:AJ325))</f>
        <v/>
      </c>
      <c r="F325" s="42">
        <f>IF(LEFT(G325,4)="FY26","&lt;b&gt;","&lt;i&gt;")</f>
        <v/>
      </c>
      <c r="G325" s="42" t="inlineStr">
        <is>
          <t>FY27 Enhancement</t>
        </is>
      </c>
      <c r="H325" s="42">
        <f>IF(LEFT(G325,4)="FY26","&lt;/b&gt;","&lt;/i&gt;")</f>
        <v/>
      </c>
      <c r="I325" s="43" t="inlineStr">
        <is>
          <t>&lt;i&gt;</t>
        </is>
      </c>
      <c r="J325" s="44" t="inlineStr">
        <is>
          <t>Economic Development</t>
        </is>
      </c>
      <c r="K325" s="44" t="inlineStr">
        <is>
          <t>&lt;/i&gt;</t>
        </is>
      </c>
      <c r="L325" s="4">
        <f>IF(ISBLANK(N325),"","&lt;br&gt;")</f>
        <v/>
      </c>
      <c r="M325" s="42">
        <f>IF(ISBLANK(R325),"&lt;b&gt;","&lt;i&gt;")</f>
        <v/>
      </c>
      <c r="N325" s="42" t="inlineStr">
        <is>
          <t>Dept. of Self-Governing Agencies</t>
        </is>
      </c>
      <c r="O325" s="42">
        <f>IF(ISBLANK(R325),"&lt;/b&gt;","&lt;/i&gt;")</f>
        <v/>
      </c>
      <c r="P325" s="4">
        <f>IF(ISBLANK(R325),"","&lt;br&gt;")</f>
        <v/>
      </c>
      <c r="Q325" s="42">
        <f>IF(ISBLANK(R325),"","&lt;b&gt;")</f>
        <v/>
      </c>
      <c r="R325" s="42" t="inlineStr">
        <is>
          <t>Office of Health &amp; Social Services Ombudsman</t>
        </is>
      </c>
      <c r="S325" s="42">
        <f>IF(ISBLANK(R325),"","&lt;/i&gt;")</f>
        <v/>
      </c>
      <c r="T325" s="42">
        <f>IF(ISBLANK(X325),"",IF(OR(AB325="PASSED",ISBLANK(N325)),"&lt;b&gt;","&lt;i&gt;"))</f>
        <v/>
      </c>
      <c r="U325" s="3">
        <f>IF(ISBLANK(V325),"","&lt;a href='")</f>
        <v/>
      </c>
      <c r="V325" s="42" t="n"/>
      <c r="W325" s="17">
        <f>IF(ISBLANK(V325),"","'&gt;")</f>
        <v/>
      </c>
      <c r="X325" s="42" t="n"/>
      <c r="Y325" s="17">
        <f>IF(ISBLANK(X325),"","&lt;/a&gt;")</f>
        <v/>
      </c>
      <c r="Z325" s="57">
        <f>IF(ISBLANK(X325),"",IF(OR(AB325="PASSED",ISBLANK(N325)),"&lt;/b&gt;","&lt;/i&gt;"))</f>
        <v/>
      </c>
      <c r="AA325" s="43">
        <f>IF(AB325="PASSED","&lt;b&gt;","")</f>
        <v/>
      </c>
      <c r="AB325" s="45" t="inlineStr">
        <is>
          <t>—</t>
        </is>
      </c>
      <c r="AC325" s="43">
        <f>IF(AB325="PASSED","&lt;/b&gt;","")</f>
        <v/>
      </c>
      <c r="AD325" s="43">
        <f>IF(ISBLANK(AE325),"","&lt;b&gt;")</f>
        <v/>
      </c>
      <c r="AE325" s="42" t="n"/>
      <c r="AF325" s="42">
        <f>IF(ISBLANK(AE325),"",": ")</f>
        <v/>
      </c>
      <c r="AG325" s="42" t="inlineStr">
        <is>
          <t>Not Scheduled for Hearing</t>
        </is>
      </c>
      <c r="AH325" s="42">
        <f>IF(ISBLANK(AE325),"","&lt;/b&gt;")</f>
        <v/>
      </c>
      <c r="AI325" s="42" t="n"/>
      <c r="AJ325" s="42">
        <f>IF(ISBLANK(AI325),"","&lt;br&gt;"&amp;AI325)</f>
        <v/>
      </c>
      <c r="AK325" s="42" t="n"/>
      <c r="AL325" s="42" t="n"/>
      <c r="AM325" s="42" t="n"/>
      <c r="AN325" s="42">
        <f>IF(ISBLANK(AM325),"","&lt;/i&gt;")</f>
        <v/>
      </c>
      <c r="AO325" s="35">
        <f>IF(ISBLANK(AQ325),"","&lt;/b&gt;&lt;br&gt;&lt;br&gt;")</f>
        <v/>
      </c>
      <c r="AP325" s="42">
        <f>IF(ISBLANK(AQ325),"","&lt;b&gt;")</f>
        <v/>
      </c>
      <c r="AQ325" s="42" t="n"/>
      <c r="AR325" s="4" t="n"/>
      <c r="AS325" s="4">
        <f>IF(ISBLANK(AR325),""," %")</f>
        <v/>
      </c>
      <c r="AT325" s="4">
        <f t="array" ref="AT325">_xlfn.IFS(NOT(ISBLANK(AU325))," (pgs. ",NOT(ISBLANK(AS325))," (pg. ", ISBLANK(AS325), "")</f>
        <v/>
      </c>
      <c r="AU325" s="42" t="n"/>
      <c r="AV325" s="4">
        <f>IF(ISBLANK(AW325),"",", ")</f>
        <v/>
      </c>
      <c r="AW325" s="42" t="n"/>
      <c r="AX325" s="4">
        <f>IF(ISBLANK(AY325),"",",&lt;br&gt;")</f>
        <v/>
      </c>
      <c r="AY325" s="42" t="n"/>
      <c r="AZ325" s="49">
        <f>IF(ISBLANK(AU325),"",")&lt;/b&gt;")</f>
        <v/>
      </c>
      <c r="BA325" s="4">
        <f>IF(ISBLANK(BC325),"","&lt;br&gt;")</f>
        <v/>
      </c>
      <c r="BB325" s="42">
        <f t="array" ref="BB325">IF(ISBLANK(BC325),"",_xlfn.LET(
_xlpm.words,_xlfn.TEXTSPLIT(TRIM(BC325),"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25" s="50" t="n"/>
    </row>
    <row r="326">
      <c r="A326" s="20">
        <f>_xlfn.TEXTJOIN("", TRUE, F326:H326)</f>
        <v/>
      </c>
      <c r="B326" s="21">
        <f>_xlfn.TEXTJOIN("", TRUE, I326:S326)</f>
        <v/>
      </c>
      <c r="C326" s="21">
        <f>IF(ISBLANK(X326),"", _xlfn.TEXTJOIN("",TRUE,T326:Z326))</f>
        <v/>
      </c>
      <c r="D326" s="21">
        <f>IF(ISBLANK(AB326), "", _xlfn.TEXTJOIN("", TRUE, AA326:AC326))</f>
        <v/>
      </c>
      <c r="E326" s="22">
        <f>IF(AU326="NA", _xlfn.TEXTJOIN("", TRUE, AD326:AH326), _xlfn.TEXTJOIN("", TRUE, AD326:AJ326))</f>
        <v/>
      </c>
      <c r="F326" s="42">
        <f>IF(LEFT(G326,4)="FY26","&lt;b&gt;","&lt;i&gt;")</f>
        <v/>
      </c>
      <c r="G326" s="42" t="inlineStr">
        <is>
          <t>FY27 Enhancement</t>
        </is>
      </c>
      <c r="H326" s="42">
        <f>IF(LEFT(G326,4)="FY26","&lt;/b&gt;","&lt;/i&gt;")</f>
        <v/>
      </c>
      <c r="I326" s="43" t="inlineStr">
        <is>
          <t>&lt;i&gt;</t>
        </is>
      </c>
      <c r="J326" s="44" t="inlineStr">
        <is>
          <t>Economic Development</t>
        </is>
      </c>
      <c r="K326" s="44" t="inlineStr">
        <is>
          <t>&lt;/i&gt;</t>
        </is>
      </c>
      <c r="L326" s="4">
        <f>IF(ISBLANK(N326),"","&lt;br&gt;")</f>
        <v/>
      </c>
      <c r="M326" s="42">
        <f>IF(ISBLANK(R326),"&lt;b&gt;","&lt;i&gt;")</f>
        <v/>
      </c>
      <c r="N326" s="42" t="inlineStr">
        <is>
          <t>Dept. of Self-Governing Agencies</t>
        </is>
      </c>
      <c r="O326" s="42">
        <f>IF(ISBLANK(R326),"&lt;/b&gt;","&lt;/i&gt;")</f>
        <v/>
      </c>
      <c r="P326" s="4">
        <f>IF(ISBLANK(R326),"","&lt;br&gt;")</f>
        <v/>
      </c>
      <c r="Q326" s="42">
        <f>IF(ISBLANK(R326),"","&lt;b&gt;")</f>
        <v/>
      </c>
      <c r="R326" s="42" t="inlineStr">
        <is>
          <t>Public Defense Comm.</t>
        </is>
      </c>
      <c r="S326" s="42">
        <f>IF(ISBLANK(R326),"","&lt;/i&gt;")</f>
        <v/>
      </c>
      <c r="T326" s="42">
        <f>IF(ISBLANK(X326),"",IF(OR(AB326="PASSED",ISBLANK(N326)),"&lt;b&gt;","&lt;i&gt;"))</f>
        <v/>
      </c>
      <c r="U326" s="3">
        <f>IF(ISBLANK(V326),"","&lt;a href='")</f>
        <v/>
      </c>
      <c r="V326" s="42" t="n"/>
      <c r="W326" s="17">
        <f>IF(ISBLANK(V326),"","'&gt;")</f>
        <v/>
      </c>
      <c r="X326" s="42" t="n"/>
      <c r="Y326" s="17">
        <f>IF(ISBLANK(X326),"","&lt;/a&gt;")</f>
        <v/>
      </c>
      <c r="Z326" s="57">
        <f>IF(ISBLANK(X326),"",IF(OR(AB326="PASSED",ISBLANK(N326)),"&lt;/b&gt;","&lt;/i&gt;"))</f>
        <v/>
      </c>
      <c r="AA326" s="43">
        <f>IF(AB326="PASSED","&lt;b&gt;","")</f>
        <v/>
      </c>
      <c r="AB326" s="45" t="inlineStr">
        <is>
          <t>—</t>
        </is>
      </c>
      <c r="AC326" s="43">
        <f>IF(AB326="PASSED","&lt;/b&gt;","")</f>
        <v/>
      </c>
      <c r="AD326" s="43">
        <f>IF(ISBLANK(AE326),"","&lt;b&gt;")</f>
        <v/>
      </c>
      <c r="AE326" s="42" t="n"/>
      <c r="AF326" s="42">
        <f>IF(ISBLANK(AE326),"",": ")</f>
        <v/>
      </c>
      <c r="AG326" s="42" t="inlineStr">
        <is>
          <t>Not Scheduled for Hearing</t>
        </is>
      </c>
      <c r="AH326" s="42">
        <f>IF(ISBLANK(AE326),"","&lt;/b&gt;")</f>
        <v/>
      </c>
      <c r="AI326" s="42" t="n"/>
      <c r="AJ326" s="42">
        <f>IF(ISBLANK(AI326),"","&lt;br&gt;"&amp;AI326)</f>
        <v/>
      </c>
      <c r="AK326" s="42" t="n"/>
      <c r="AL326" s="42" t="n"/>
      <c r="AM326" s="42" t="n"/>
      <c r="AN326" s="42">
        <f>IF(ISBLANK(AM326),"","&lt;/i&gt;")</f>
        <v/>
      </c>
      <c r="AO326" s="35">
        <f>IF(ISBLANK(AQ326),"","&lt;/b&gt;&lt;br&gt;&lt;br&gt;")</f>
        <v/>
      </c>
      <c r="AP326" s="42">
        <f>IF(ISBLANK(AQ326),"","&lt;b&gt;")</f>
        <v/>
      </c>
      <c r="AQ326" s="42" t="n"/>
      <c r="AR326" s="4" t="n"/>
      <c r="AS326" s="4">
        <f>IF(ISBLANK(AR326),""," %")</f>
        <v/>
      </c>
      <c r="AT326" s="4">
        <f t="array" ref="AT326">_xlfn.IFS(NOT(ISBLANK(AU326))," (pgs. ",NOT(ISBLANK(AS326))," (pg. ", ISBLANK(AS326), "")</f>
        <v/>
      </c>
      <c r="AU326" s="42" t="n"/>
      <c r="AV326" s="4">
        <f>IF(ISBLANK(AW326),"",", ")</f>
        <v/>
      </c>
      <c r="AW326" s="42" t="n"/>
      <c r="AX326" s="4">
        <f>IF(ISBLANK(AY326),"",",&lt;br&gt;")</f>
        <v/>
      </c>
      <c r="AY326" s="42" t="n"/>
      <c r="AZ326" s="49">
        <f>IF(ISBLANK(AU326),"",")&lt;/b&gt;")</f>
        <v/>
      </c>
      <c r="BA326" s="4">
        <f>IF(ISBLANK(BC326),"","&lt;br&gt;")</f>
        <v/>
      </c>
      <c r="BB326" s="42">
        <f t="array" ref="BB326">IF(ISBLANK(BC326),"",_xlfn.LET(
_xlpm.words,_xlfn.TEXTSPLIT(TRIM(BC326),"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26" s="50" t="n"/>
    </row>
    <row r="327">
      <c r="A327" s="20">
        <f>_xlfn.TEXTJOIN("", TRUE, F327:H327)</f>
        <v/>
      </c>
      <c r="B327" s="21">
        <f>_xlfn.TEXTJOIN("", TRUE, I327:S327)</f>
        <v/>
      </c>
      <c r="C327" s="21">
        <f>IF(ISBLANK(X327),"", _xlfn.TEXTJOIN("",TRUE,T327:Z327))</f>
        <v/>
      </c>
      <c r="D327" s="21">
        <f>IF(ISBLANK(AB327), "", _xlfn.TEXTJOIN("", TRUE, AA327:AC327))</f>
        <v/>
      </c>
      <c r="E327" s="22">
        <f>IF(AU327="NA", _xlfn.TEXTJOIN("", TRUE, AD327:AH327), _xlfn.TEXTJOIN("", TRUE, AD327:AJ327))</f>
        <v/>
      </c>
      <c r="F327" s="42">
        <f>IF(LEFT(G327,4)="FY26","&lt;b&gt;","&lt;i&gt;")</f>
        <v/>
      </c>
      <c r="G327" s="42" t="inlineStr">
        <is>
          <t>FY27 Enhancement</t>
        </is>
      </c>
      <c r="H327" s="42">
        <f>IF(LEFT(G327,4)="FY26","&lt;/b&gt;","&lt;/i&gt;")</f>
        <v/>
      </c>
      <c r="I327" s="43" t="inlineStr">
        <is>
          <t>&lt;i&gt;</t>
        </is>
      </c>
      <c r="J327" s="44" t="inlineStr">
        <is>
          <t>Economic Development</t>
        </is>
      </c>
      <c r="K327" s="44" t="inlineStr">
        <is>
          <t>&lt;/i&gt;</t>
        </is>
      </c>
      <c r="L327" s="4">
        <f>IF(ISBLANK(N327),"","&lt;br&gt;")</f>
        <v/>
      </c>
      <c r="M327" s="42">
        <f>IF(ISBLANK(R327),"&lt;b&gt;","&lt;i&gt;")</f>
        <v/>
      </c>
      <c r="N327" s="42" t="inlineStr">
        <is>
          <t>Dept. of Self-Governing Agencies</t>
        </is>
      </c>
      <c r="O327" s="42">
        <f>IF(ISBLANK(R327),"&lt;/b&gt;","&lt;/i&gt;")</f>
        <v/>
      </c>
      <c r="P327" s="4">
        <f>IF(ISBLANK(R327),"","&lt;br&gt;")</f>
        <v/>
      </c>
      <c r="Q327" s="42">
        <f>IF(ISBLANK(R327),"","&lt;b&gt;")</f>
        <v/>
      </c>
      <c r="R327" s="42" t="inlineStr">
        <is>
          <t>State Appellate Public Defender</t>
        </is>
      </c>
      <c r="S327" s="42">
        <f>IF(ISBLANK(R327),"","&lt;/i&gt;")</f>
        <v/>
      </c>
      <c r="T327" s="42">
        <f>IF(ISBLANK(X327),"",IF(OR(AB327="PASSED",ISBLANK(N327)),"&lt;b&gt;","&lt;i&gt;"))</f>
        <v/>
      </c>
      <c r="U327" s="3">
        <f>IF(ISBLANK(V327),"","&lt;a href='")</f>
        <v/>
      </c>
      <c r="V327" s="42" t="n"/>
      <c r="W327" s="17">
        <f>IF(ISBLANK(V327),"","'&gt;")</f>
        <v/>
      </c>
      <c r="X327" s="42" t="n"/>
      <c r="Y327" s="17">
        <f>IF(ISBLANK(X327),"","&lt;/a&gt;")</f>
        <v/>
      </c>
      <c r="Z327" s="57">
        <f>IF(ISBLANK(X327),"",IF(OR(AB327="PASSED",ISBLANK(N327)),"&lt;/b&gt;","&lt;/i&gt;"))</f>
        <v/>
      </c>
      <c r="AA327" s="43">
        <f>IF(AB327="PASSED","&lt;b&gt;","")</f>
        <v/>
      </c>
      <c r="AB327" s="45" t="inlineStr">
        <is>
          <t>—</t>
        </is>
      </c>
      <c r="AC327" s="43">
        <f>IF(AB327="PASSED","&lt;/b&gt;","")</f>
        <v/>
      </c>
      <c r="AD327" s="43">
        <f>IF(ISBLANK(AE327),"","&lt;b&gt;")</f>
        <v/>
      </c>
      <c r="AE327" s="42" t="n"/>
      <c r="AF327" s="42">
        <f>IF(ISBLANK(AE327),"",": ")</f>
        <v/>
      </c>
      <c r="AG327" s="42" t="inlineStr">
        <is>
          <t>Not Scheduled for Hearing</t>
        </is>
      </c>
      <c r="AH327" s="42">
        <f>IF(ISBLANK(AE327),"","&lt;/b&gt;")</f>
        <v/>
      </c>
      <c r="AI327" s="42" t="n"/>
      <c r="AJ327" s="42">
        <f>IF(ISBLANK(AI327),"","&lt;br&gt;"&amp;AI327)</f>
        <v/>
      </c>
      <c r="AK327" s="42" t="n"/>
      <c r="AL327" s="42" t="n"/>
      <c r="AM327" s="42" t="n"/>
      <c r="AN327" s="42">
        <f>IF(ISBLANK(AM327),"","&lt;/i&gt;")</f>
        <v/>
      </c>
      <c r="AO327" s="35">
        <f>IF(ISBLANK(AQ327),"","&lt;/b&gt;&lt;br&gt;&lt;br&gt;")</f>
        <v/>
      </c>
      <c r="AP327" s="42">
        <f>IF(ISBLANK(AQ327),"","&lt;b&gt;")</f>
        <v/>
      </c>
      <c r="AQ327" s="42" t="n"/>
      <c r="AR327" s="4" t="n"/>
      <c r="AS327" s="4">
        <f>IF(ISBLANK(AR327),""," %")</f>
        <v/>
      </c>
      <c r="AT327" s="4">
        <f t="array" ref="AT327">_xlfn.IFS(NOT(ISBLANK(AU327))," (pgs. ",NOT(ISBLANK(AS327))," (pg. ", ISBLANK(AS327), "")</f>
        <v/>
      </c>
      <c r="AU327" s="42" t="n"/>
      <c r="AV327" s="4">
        <f>IF(ISBLANK(AW327),"",", ")</f>
        <v/>
      </c>
      <c r="AW327" s="42" t="n"/>
      <c r="AX327" s="4">
        <f>IF(ISBLANK(AY327),"",",&lt;br&gt;")</f>
        <v/>
      </c>
      <c r="AY327" s="42" t="n"/>
      <c r="AZ327" s="49">
        <f>IF(ISBLANK(AU327),"",")&lt;/b&gt;")</f>
        <v/>
      </c>
      <c r="BA327" s="4">
        <f>IF(ISBLANK(BC327),"","&lt;br&gt;")</f>
        <v/>
      </c>
      <c r="BB327" s="42">
        <f t="array" ref="BB327">IF(ISBLANK(BC327),"",_xlfn.LET(
_xlpm.words,_xlfn.TEXTSPLIT(TRIM(BC327),"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27" s="50" t="n"/>
    </row>
    <row r="328">
      <c r="A328" s="20">
        <f>_xlfn.TEXTJOIN("", TRUE, F328:H328)</f>
        <v/>
      </c>
      <c r="B328" s="21">
        <f>_xlfn.TEXTJOIN("", TRUE, I328:S328)</f>
        <v/>
      </c>
      <c r="C328" s="21">
        <f>IF(ISBLANK(X328),"", _xlfn.TEXTJOIN("",TRUE,T328:Z328))</f>
        <v/>
      </c>
      <c r="D328" s="21">
        <f>IF(ISBLANK(AB328), "", _xlfn.TEXTJOIN("", TRUE, AA328:AC328))</f>
        <v/>
      </c>
      <c r="E328" s="22">
        <f>IF(AU328="NA", _xlfn.TEXTJOIN("", TRUE, AD328:AH328), _xlfn.TEXTJOIN("", TRUE, AD328:AJ328))</f>
        <v/>
      </c>
      <c r="F328" s="42">
        <f>IF(LEFT(G328,4)="FY26","&lt;b&gt;","&lt;i&gt;")</f>
        <v/>
      </c>
      <c r="G328" s="42" t="inlineStr">
        <is>
          <t>FY27 Enhancement</t>
        </is>
      </c>
      <c r="H328" s="42">
        <f>IF(LEFT(G328,4)="FY26","&lt;/b&gt;","&lt;/i&gt;")</f>
        <v/>
      </c>
      <c r="I328" s="43" t="inlineStr">
        <is>
          <t>&lt;i&gt;</t>
        </is>
      </c>
      <c r="J328" s="44" t="inlineStr">
        <is>
          <t>General Government</t>
        </is>
      </c>
      <c r="K328" s="44" t="inlineStr">
        <is>
          <t>&lt;/i&gt;</t>
        </is>
      </c>
      <c r="L328" s="4">
        <f>IF(ISBLANK(N328),"","&lt;br&gt;")</f>
        <v/>
      </c>
      <c r="M328" s="42">
        <f>IF(ISBLANK(R328),"&lt;b&gt;","&lt;i&gt;")</f>
        <v/>
      </c>
      <c r="N328" s="42" t="inlineStr">
        <is>
          <t>Dept. of Administration</t>
        </is>
      </c>
      <c r="O328" s="42">
        <f>IF(ISBLANK(R328),"&lt;/b&gt;","&lt;/i&gt;")</f>
        <v/>
      </c>
      <c r="P328" s="4">
        <f>IF(ISBLANK(R328),"","&lt;br&gt;")</f>
        <v/>
      </c>
      <c r="Q328" s="42">
        <f>IF(ISBLANK(R328),"","&lt;b&gt;")</f>
        <v/>
      </c>
      <c r="R328" s="42" t="inlineStr">
        <is>
          <t>Capitol Comm.</t>
        </is>
      </c>
      <c r="S328" s="42">
        <f>IF(ISBLANK(R328),"","&lt;/i&gt;")</f>
        <v/>
      </c>
      <c r="T328" s="42">
        <f>IF(ISBLANK(X328),"",IF(OR(AB328="PASSED",ISBLANK(N328)),"&lt;b&gt;","&lt;i&gt;"))</f>
        <v/>
      </c>
      <c r="U328" s="3">
        <f>IF(ISBLANK(V328),"","&lt;a href='")</f>
        <v/>
      </c>
      <c r="V328" s="42" t="n"/>
      <c r="W328" s="17">
        <f>IF(ISBLANK(V328),"","'&gt;")</f>
        <v/>
      </c>
      <c r="X328" s="42" t="n"/>
      <c r="Y328" s="17">
        <f>IF(ISBLANK(X328),"","&lt;/a&gt;")</f>
        <v/>
      </c>
      <c r="Z328" s="57">
        <f>IF(ISBLANK(X328),"",IF(OR(AB328="PASSED",ISBLANK(N328)),"&lt;/b&gt;","&lt;/i&gt;"))</f>
        <v/>
      </c>
      <c r="AA328" s="43">
        <f>IF(AB328="PASSED","&lt;b&gt;","")</f>
        <v/>
      </c>
      <c r="AB328" s="45" t="inlineStr">
        <is>
          <t>—</t>
        </is>
      </c>
      <c r="AC328" s="43">
        <f>IF(AB328="PASSED","&lt;/b&gt;","")</f>
        <v/>
      </c>
      <c r="AD328" s="43">
        <f>IF(ISBLANK(AE328),"","&lt;b&gt;")</f>
        <v/>
      </c>
      <c r="AE328" s="42" t="n"/>
      <c r="AF328" s="42">
        <f>IF(ISBLANK(AE328),"",": ")</f>
        <v/>
      </c>
      <c r="AG328" s="42" t="inlineStr">
        <is>
          <t>Not Scheduled for Hearing</t>
        </is>
      </c>
      <c r="AH328" s="42">
        <f>IF(ISBLANK(AE328),"","&lt;/b&gt;")</f>
        <v/>
      </c>
      <c r="AI328" s="42" t="n"/>
      <c r="AJ328" s="42">
        <f>IF(ISBLANK(AI328),"","&lt;br&gt;"&amp;AI328)</f>
        <v/>
      </c>
      <c r="AK328" s="42" t="n"/>
      <c r="AL328" s="42" t="n"/>
      <c r="AM328" s="42" t="n"/>
      <c r="AN328" s="42">
        <f>IF(ISBLANK(AM328),"","&lt;/i&gt;")</f>
        <v/>
      </c>
      <c r="AO328" s="35">
        <f>IF(ISBLANK(AQ328),"","&lt;/b&gt;&lt;br&gt;&lt;br&gt;")</f>
        <v/>
      </c>
      <c r="AP328" s="42">
        <f>IF(ISBLANK(AQ328),"","&lt;b&gt;")</f>
        <v/>
      </c>
      <c r="AQ328" s="42" t="n"/>
      <c r="AR328" s="4" t="n"/>
      <c r="AS328" s="4">
        <f>IF(ISBLANK(AR328),""," %")</f>
        <v/>
      </c>
      <c r="AT328" s="4">
        <f t="array" ref="AT328">_xlfn.IFS(NOT(ISBLANK(AU328))," (pgs. ",NOT(ISBLANK(AS328))," (pg. ", ISBLANK(AS328), "")</f>
        <v/>
      </c>
      <c r="AU328" s="42" t="n"/>
      <c r="AV328" s="4">
        <f>IF(ISBLANK(AW328),"",", ")</f>
        <v/>
      </c>
      <c r="AW328" s="42" t="n"/>
      <c r="AX328" s="4">
        <f>IF(ISBLANK(AY328),"",",&lt;br&gt;")</f>
        <v/>
      </c>
      <c r="AY328" s="42" t="n"/>
      <c r="AZ328" s="49">
        <f>IF(ISBLANK(AU328),"",")&lt;/b&gt;")</f>
        <v/>
      </c>
      <c r="BA328" s="4">
        <f>IF(ISBLANK(BC328),"","&lt;br&gt;")</f>
        <v/>
      </c>
      <c r="BB328" s="42">
        <f t="array" ref="BB328">IF(ISBLANK(BC328),"",_xlfn.LET(
_xlpm.words,_xlfn.TEXTSPLIT(TRIM(BC328),"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28" s="50" t="n"/>
    </row>
    <row r="329">
      <c r="A329" s="20">
        <f>_xlfn.TEXTJOIN("", TRUE, F329:H329)</f>
        <v/>
      </c>
      <c r="B329" s="21">
        <f>_xlfn.TEXTJOIN("", TRUE, I329:S329)</f>
        <v/>
      </c>
      <c r="C329" s="21">
        <f>IF(ISBLANK(X329),"", _xlfn.TEXTJOIN("",TRUE,T329:Z329))</f>
        <v/>
      </c>
      <c r="D329" s="21">
        <f>IF(ISBLANK(AB329), "", _xlfn.TEXTJOIN("", TRUE, AA329:AC329))</f>
        <v/>
      </c>
      <c r="E329" s="22">
        <f>IF(AU329="NA", _xlfn.TEXTJOIN("", TRUE, AD329:AH329), _xlfn.TEXTJOIN("", TRUE, AD329:AJ329))</f>
        <v/>
      </c>
      <c r="F329" s="42">
        <f>IF(LEFT(G329,4)="FY26","&lt;b&gt;","&lt;i&gt;")</f>
        <v/>
      </c>
      <c r="G329" s="42" t="inlineStr">
        <is>
          <t>FY27 Enhancement</t>
        </is>
      </c>
      <c r="H329" s="42">
        <f>IF(LEFT(G329,4)="FY26","&lt;/b&gt;","&lt;/i&gt;")</f>
        <v/>
      </c>
      <c r="I329" s="43" t="inlineStr">
        <is>
          <t>&lt;i&gt;</t>
        </is>
      </c>
      <c r="J329" s="44" t="inlineStr">
        <is>
          <t>General Government</t>
        </is>
      </c>
      <c r="K329" s="44" t="inlineStr">
        <is>
          <t>&lt;/i&gt;</t>
        </is>
      </c>
      <c r="L329" s="4">
        <f>IF(ISBLANK(N329),"","&lt;br&gt;")</f>
        <v/>
      </c>
      <c r="M329" s="42">
        <f>IF(ISBLANK(R329),"&lt;b&gt;","&lt;i&gt;")</f>
        <v/>
      </c>
      <c r="N329" s="42" t="inlineStr">
        <is>
          <t>Dept. of Revenue &amp; Taxation</t>
        </is>
      </c>
      <c r="O329" s="42">
        <f>IF(ISBLANK(R329),"&lt;/b&gt;","&lt;/i&gt;")</f>
        <v/>
      </c>
      <c r="P329" s="4">
        <f>IF(ISBLANK(R329),"","&lt;br&gt;")</f>
        <v/>
      </c>
      <c r="Q329" s="42">
        <f>IF(ISBLANK(R329),"","&lt;b&gt;")</f>
        <v/>
      </c>
      <c r="R329" s="42" t="inlineStr">
        <is>
          <t>Board of Tax Appeals</t>
        </is>
      </c>
      <c r="S329" s="42">
        <f>IF(ISBLANK(R329),"","&lt;/i&gt;")</f>
        <v/>
      </c>
      <c r="T329" s="42">
        <f>IF(ISBLANK(X329),"",IF(OR(AB329="PASSED",ISBLANK(N329)),"&lt;b&gt;","&lt;i&gt;"))</f>
        <v/>
      </c>
      <c r="U329" s="3">
        <f>IF(ISBLANK(V329),"","&lt;a href='")</f>
        <v/>
      </c>
      <c r="V329" s="42" t="n"/>
      <c r="W329" s="17">
        <f>IF(ISBLANK(V329),"","'&gt;")</f>
        <v/>
      </c>
      <c r="X329" s="42" t="n"/>
      <c r="Y329" s="17">
        <f>IF(ISBLANK(X329),"","&lt;/a&gt;")</f>
        <v/>
      </c>
      <c r="Z329" s="57">
        <f>IF(ISBLANK(X329),"",IF(OR(AB329="PASSED",ISBLANK(N329)),"&lt;/b&gt;","&lt;/i&gt;"))</f>
        <v/>
      </c>
      <c r="AA329" s="43">
        <f>IF(AB329="PASSED","&lt;b&gt;","")</f>
        <v/>
      </c>
      <c r="AB329" s="45" t="inlineStr">
        <is>
          <t>—</t>
        </is>
      </c>
      <c r="AC329" s="43">
        <f>IF(AB329="PASSED","&lt;/b&gt;","")</f>
        <v/>
      </c>
      <c r="AD329" s="43">
        <f>IF(ISBLANK(AE329),"","&lt;b&gt;")</f>
        <v/>
      </c>
      <c r="AE329" s="42" t="n"/>
      <c r="AF329" s="42">
        <f>IF(ISBLANK(AE329),"",": ")</f>
        <v/>
      </c>
      <c r="AG329" s="42" t="inlineStr">
        <is>
          <t>Not Scheduled for Hearing</t>
        </is>
      </c>
      <c r="AH329" s="42">
        <f>IF(ISBLANK(AE329),"","&lt;/b&gt;")</f>
        <v/>
      </c>
      <c r="AI329" s="42" t="n"/>
      <c r="AJ329" s="42">
        <f>IF(ISBLANK(AI329),"","&lt;br&gt;"&amp;AI329)</f>
        <v/>
      </c>
      <c r="AK329" s="42" t="n"/>
      <c r="AL329" s="42" t="n"/>
      <c r="AM329" s="42" t="n"/>
      <c r="AN329" s="42">
        <f>IF(ISBLANK(AM329),"","&lt;/i&gt;")</f>
        <v/>
      </c>
      <c r="AO329" s="35">
        <f>IF(ISBLANK(AQ329),"","&lt;/b&gt;&lt;br&gt;&lt;br&gt;")</f>
        <v/>
      </c>
      <c r="AP329" s="42">
        <f>IF(ISBLANK(AQ329),"","&lt;b&gt;")</f>
        <v/>
      </c>
      <c r="AQ329" s="42" t="n"/>
      <c r="AR329" s="4" t="n"/>
      <c r="AS329" s="4">
        <f>IF(ISBLANK(AR329),""," %")</f>
        <v/>
      </c>
      <c r="AT329" s="4">
        <f t="array" ref="AT329">_xlfn.IFS(NOT(ISBLANK(AU329))," (pgs. ",NOT(ISBLANK(AS329))," (pg. ", ISBLANK(AS329), "")</f>
        <v/>
      </c>
      <c r="AU329" s="42" t="n"/>
      <c r="AV329" s="4">
        <f>IF(ISBLANK(AW329),"",", ")</f>
        <v/>
      </c>
      <c r="AW329" s="42" t="n"/>
      <c r="AX329" s="4">
        <f>IF(ISBLANK(AY329),"",",&lt;br&gt;")</f>
        <v/>
      </c>
      <c r="AY329" s="42" t="n"/>
      <c r="AZ329" s="49">
        <f>IF(ISBLANK(AU329),"",")&lt;/b&gt;")</f>
        <v/>
      </c>
      <c r="BA329" s="4">
        <f>IF(ISBLANK(BC329),"","&lt;br&gt;")</f>
        <v/>
      </c>
      <c r="BB329" s="42">
        <f t="array" ref="BB329">IF(ISBLANK(BC329),"",_xlfn.LET(
_xlpm.words,_xlfn.TEXTSPLIT(TRIM(BC329),"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29" s="50" t="n"/>
    </row>
    <row r="330">
      <c r="A330" s="20">
        <f>_xlfn.TEXTJOIN("", TRUE, F330:H330)</f>
        <v/>
      </c>
      <c r="B330" s="21">
        <f>_xlfn.TEXTJOIN("", TRUE, I330:S330)</f>
        <v/>
      </c>
      <c r="C330" s="21">
        <f>IF(ISBLANK(X330),"", _xlfn.TEXTJOIN("",TRUE,T330:Z330))</f>
        <v/>
      </c>
      <c r="D330" s="21">
        <f>IF(ISBLANK(AB330), "", _xlfn.TEXTJOIN("", TRUE, AA330:AC330))</f>
        <v/>
      </c>
      <c r="E330" s="22">
        <f>IF(AU330="NA", _xlfn.TEXTJOIN("", TRUE, AD330:AH330), _xlfn.TEXTJOIN("", TRUE, AD330:AJ330))</f>
        <v/>
      </c>
      <c r="F330" s="42">
        <f>IF(LEFT(G330,4)="FY26","&lt;b&gt;","&lt;i&gt;")</f>
        <v/>
      </c>
      <c r="G330" s="42" t="inlineStr">
        <is>
          <t>FY27 Enhancement</t>
        </is>
      </c>
      <c r="H330" s="42">
        <f>IF(LEFT(G330,4)="FY26","&lt;/b&gt;","&lt;/i&gt;")</f>
        <v/>
      </c>
      <c r="I330" s="43" t="inlineStr">
        <is>
          <t>&lt;i&gt;</t>
        </is>
      </c>
      <c r="J330" s="44" t="inlineStr">
        <is>
          <t>General Government</t>
        </is>
      </c>
      <c r="K330" s="44" t="inlineStr">
        <is>
          <t>&lt;/i&gt;</t>
        </is>
      </c>
      <c r="L330" s="4">
        <f>IF(ISBLANK(N330),"","&lt;br&gt;")</f>
        <v/>
      </c>
      <c r="M330" s="42">
        <f>IF(ISBLANK(R330),"&lt;b&gt;","&lt;i&gt;")</f>
        <v/>
      </c>
      <c r="N330" s="42" t="inlineStr">
        <is>
          <t>Office of the Governor</t>
        </is>
      </c>
      <c r="O330" s="42">
        <f>IF(ISBLANK(R330),"&lt;/b&gt;","&lt;/i&gt;")</f>
        <v/>
      </c>
      <c r="P330" s="4">
        <f>IF(ISBLANK(R330),"","&lt;br&gt;")</f>
        <v/>
      </c>
      <c r="Q330" s="42">
        <f>IF(ISBLANK(R330),"","&lt;b&gt;")</f>
        <v/>
      </c>
      <c r="R330" s="42" t="inlineStr">
        <is>
          <t>Comm. on Aging</t>
        </is>
      </c>
      <c r="S330" s="42">
        <f>IF(ISBLANK(R330),"","&lt;/i&gt;")</f>
        <v/>
      </c>
      <c r="T330" s="42">
        <f>IF(ISBLANK(X330),"",IF(OR(AB330="PASSED",ISBLANK(N330)),"&lt;b&gt;","&lt;i&gt;"))</f>
        <v/>
      </c>
      <c r="U330" s="3">
        <f>IF(ISBLANK(V330),"","&lt;a href='")</f>
        <v/>
      </c>
      <c r="V330" s="42" t="n"/>
      <c r="W330" s="17">
        <f>IF(ISBLANK(V330),"","'&gt;")</f>
        <v/>
      </c>
      <c r="X330" s="42" t="n"/>
      <c r="Y330" s="17">
        <f>IF(ISBLANK(X330),"","&lt;/a&gt;")</f>
        <v/>
      </c>
      <c r="Z330" s="57">
        <f>IF(ISBLANK(X330),"",IF(OR(AB330="PASSED",ISBLANK(N330)),"&lt;/b&gt;","&lt;/i&gt;"))</f>
        <v/>
      </c>
      <c r="AA330" s="43">
        <f>IF(AB330="PASSED","&lt;b&gt;","")</f>
        <v/>
      </c>
      <c r="AB330" s="45" t="inlineStr">
        <is>
          <t>—</t>
        </is>
      </c>
      <c r="AC330" s="43">
        <f>IF(AB330="PASSED","&lt;/b&gt;","")</f>
        <v/>
      </c>
      <c r="AD330" s="43">
        <f>IF(ISBLANK(AE330),"","&lt;b&gt;")</f>
        <v/>
      </c>
      <c r="AE330" s="42" t="n"/>
      <c r="AF330" s="42">
        <f>IF(ISBLANK(AE330),"",": ")</f>
        <v/>
      </c>
      <c r="AG330" s="42" t="inlineStr">
        <is>
          <t>Not Scheduled for Hearing</t>
        </is>
      </c>
      <c r="AH330" s="42">
        <f>IF(ISBLANK(AE330),"","&lt;/b&gt;")</f>
        <v/>
      </c>
      <c r="AI330" s="42" t="n"/>
      <c r="AJ330" s="42">
        <f>IF(ISBLANK(AI330),"","&lt;br&gt;"&amp;AI330)</f>
        <v/>
      </c>
      <c r="AK330" s="42" t="n"/>
      <c r="AL330" s="42" t="n"/>
      <c r="AM330" s="42" t="n"/>
      <c r="AN330" s="42">
        <f>IF(ISBLANK(AM330),"","&lt;/i&gt;")</f>
        <v/>
      </c>
      <c r="AO330" s="35">
        <f>IF(ISBLANK(AQ330),"","&lt;/b&gt;&lt;br&gt;&lt;br&gt;")</f>
        <v/>
      </c>
      <c r="AP330" s="42">
        <f>IF(ISBLANK(AQ330),"","&lt;b&gt;")</f>
        <v/>
      </c>
      <c r="AQ330" s="42" t="n"/>
      <c r="AR330" s="4" t="n"/>
      <c r="AS330" s="4">
        <f>IF(ISBLANK(AR330),""," %")</f>
        <v/>
      </c>
      <c r="AT330" s="4">
        <f t="array" ref="AT330">_xlfn.IFS(NOT(ISBLANK(AU330))," (pgs. ",NOT(ISBLANK(AS330))," (pg. ", ISBLANK(AS330), "")</f>
        <v/>
      </c>
      <c r="AU330" s="42" t="n"/>
      <c r="AV330" s="4">
        <f>IF(ISBLANK(AW330),"",", ")</f>
        <v/>
      </c>
      <c r="AW330" s="42" t="n"/>
      <c r="AX330" s="4">
        <f>IF(ISBLANK(AY330),"",",&lt;br&gt;")</f>
        <v/>
      </c>
      <c r="AY330" s="42" t="n"/>
      <c r="AZ330" s="49">
        <f>IF(ISBLANK(AU330),"",")&lt;/b&gt;")</f>
        <v/>
      </c>
      <c r="BA330" s="4">
        <f>IF(ISBLANK(BC330),"","&lt;br&gt;")</f>
        <v/>
      </c>
      <c r="BB330" s="42">
        <f t="array" ref="BB330">IF(ISBLANK(BC330),"",_xlfn.LET(
_xlpm.words,_xlfn.TEXTSPLIT(TRIM(BC330),"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30" s="50" t="n"/>
    </row>
    <row r="331">
      <c r="A331" s="20">
        <f>_xlfn.TEXTJOIN("", TRUE, F331:H331)</f>
        <v/>
      </c>
      <c r="B331" s="21">
        <f>_xlfn.TEXTJOIN("", TRUE, I331:S331)</f>
        <v/>
      </c>
      <c r="C331" s="21">
        <f>IF(ISBLANK(X331),"", _xlfn.TEXTJOIN("",TRUE,T331:Z331))</f>
        <v/>
      </c>
      <c r="D331" s="21">
        <f>IF(ISBLANK(AB331), "", _xlfn.TEXTJOIN("", TRUE, AA331:AC331))</f>
        <v/>
      </c>
      <c r="E331" s="22">
        <f>IF(AU331="NA", _xlfn.TEXTJOIN("", TRUE, AD331:AH331), _xlfn.TEXTJOIN("", TRUE, AD331:AJ331))</f>
        <v/>
      </c>
      <c r="F331" s="42">
        <f>IF(LEFT(G331,4)="FY26","&lt;b&gt;","&lt;i&gt;")</f>
        <v/>
      </c>
      <c r="G331" s="42" t="inlineStr">
        <is>
          <t>FY27 Enhancement</t>
        </is>
      </c>
      <c r="H331" s="42">
        <f>IF(LEFT(G331,4)="FY26","&lt;/b&gt;","&lt;/i&gt;")</f>
        <v/>
      </c>
      <c r="I331" s="43" t="inlineStr">
        <is>
          <t>&lt;i&gt;</t>
        </is>
      </c>
      <c r="J331" s="44" t="inlineStr">
        <is>
          <t>General Government</t>
        </is>
      </c>
      <c r="K331" s="44" t="inlineStr">
        <is>
          <t>&lt;/i&gt;</t>
        </is>
      </c>
      <c r="L331" s="4">
        <f>IF(ISBLANK(N331),"","&lt;br&gt;")</f>
        <v/>
      </c>
      <c r="M331" s="42">
        <f>IF(ISBLANK(R331),"&lt;b&gt;","&lt;i&gt;")</f>
        <v/>
      </c>
      <c r="N331" s="42" t="inlineStr">
        <is>
          <t>Office of the Governor</t>
        </is>
      </c>
      <c r="O331" s="42">
        <f>IF(ISBLANK(R331),"&lt;/b&gt;","&lt;/i&gt;")</f>
        <v/>
      </c>
      <c r="P331" s="4">
        <f>IF(ISBLANK(R331),"","&lt;br&gt;")</f>
        <v/>
      </c>
      <c r="Q331" s="42">
        <f>IF(ISBLANK(R331),"","&lt;b&gt;")</f>
        <v/>
      </c>
      <c r="R331" s="42" t="inlineStr">
        <is>
          <t>Comm. on the Arts</t>
        </is>
      </c>
      <c r="S331" s="42">
        <f>IF(ISBLANK(R331),"","&lt;/i&gt;")</f>
        <v/>
      </c>
      <c r="T331" s="42">
        <f>IF(ISBLANK(X331),"",IF(OR(AB331="PASSED",ISBLANK(N331)),"&lt;b&gt;","&lt;i&gt;"))</f>
        <v/>
      </c>
      <c r="U331" s="3">
        <f>IF(ISBLANK(V331),"","&lt;a href='")</f>
        <v/>
      </c>
      <c r="V331" s="42" t="n"/>
      <c r="W331" s="17">
        <f>IF(ISBLANK(V331),"","'&gt;")</f>
        <v/>
      </c>
      <c r="X331" s="42" t="n"/>
      <c r="Y331" s="17">
        <f>IF(ISBLANK(X331),"","&lt;/a&gt;")</f>
        <v/>
      </c>
      <c r="Z331" s="57">
        <f>IF(ISBLANK(X331),"",IF(OR(AB331="PASSED",ISBLANK(N331)),"&lt;/b&gt;","&lt;/i&gt;"))</f>
        <v/>
      </c>
      <c r="AA331" s="43">
        <f>IF(AB331="PASSED","&lt;b&gt;","")</f>
        <v/>
      </c>
      <c r="AB331" s="45" t="inlineStr">
        <is>
          <t>—</t>
        </is>
      </c>
      <c r="AC331" s="43">
        <f>IF(AB331="PASSED","&lt;/b&gt;","")</f>
        <v/>
      </c>
      <c r="AD331" s="43">
        <f>IF(ISBLANK(AE331),"","&lt;b&gt;")</f>
        <v/>
      </c>
      <c r="AE331" s="42" t="n"/>
      <c r="AF331" s="42">
        <f>IF(ISBLANK(AE331),"",": ")</f>
        <v/>
      </c>
      <c r="AG331" s="42" t="inlineStr">
        <is>
          <t>Not Scheduled for Hearing</t>
        </is>
      </c>
      <c r="AH331" s="42">
        <f>IF(ISBLANK(AE331),"","&lt;/b&gt;")</f>
        <v/>
      </c>
      <c r="AI331" s="42" t="n"/>
      <c r="AJ331" s="42">
        <f>IF(ISBLANK(AI331),"","&lt;br&gt;"&amp;AI331)</f>
        <v/>
      </c>
      <c r="AK331" s="42" t="n"/>
      <c r="AL331" s="42" t="n"/>
      <c r="AM331" s="42" t="n"/>
      <c r="AN331" s="42">
        <f>IF(ISBLANK(AM331),"","&lt;/i&gt;")</f>
        <v/>
      </c>
      <c r="AO331" s="35">
        <f>IF(ISBLANK(AQ331),"","&lt;/b&gt;&lt;br&gt;&lt;br&gt;")</f>
        <v/>
      </c>
      <c r="AP331" s="42">
        <f>IF(ISBLANK(AQ331),"","&lt;b&gt;")</f>
        <v/>
      </c>
      <c r="AQ331" s="42" t="n"/>
      <c r="AR331" s="4" t="n"/>
      <c r="AS331" s="4">
        <f>IF(ISBLANK(AR331),""," %")</f>
        <v/>
      </c>
      <c r="AT331" s="4">
        <f t="array" ref="AT331">_xlfn.IFS(NOT(ISBLANK(AU331))," (pgs. ",NOT(ISBLANK(AS331))," (pg. ", ISBLANK(AS331), "")</f>
        <v/>
      </c>
      <c r="AU331" s="42" t="n"/>
      <c r="AV331" s="4">
        <f>IF(ISBLANK(AW331),"",", ")</f>
        <v/>
      </c>
      <c r="AW331" s="42" t="n"/>
      <c r="AX331" s="4">
        <f>IF(ISBLANK(AY331),"",",&lt;br&gt;")</f>
        <v/>
      </c>
      <c r="AY331" s="42" t="n"/>
      <c r="AZ331" s="49">
        <f>IF(ISBLANK(AU331),"",")&lt;/b&gt;")</f>
        <v/>
      </c>
      <c r="BA331" s="4">
        <f>IF(ISBLANK(BC331),"","&lt;br&gt;")</f>
        <v/>
      </c>
      <c r="BB331" s="42">
        <f t="array" ref="BB331">IF(ISBLANK(BC331),"",_xlfn.LET(
_xlpm.words,_xlfn.TEXTSPLIT(TRIM(BC331),"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31" s="50" t="n"/>
    </row>
    <row r="332">
      <c r="A332" s="20">
        <f>_xlfn.TEXTJOIN("", TRUE, F332:H332)</f>
        <v/>
      </c>
      <c r="B332" s="21">
        <f>_xlfn.TEXTJOIN("", TRUE, I332:S332)</f>
        <v/>
      </c>
      <c r="C332" s="21">
        <f>IF(ISBLANK(X332),"", _xlfn.TEXTJOIN("",TRUE,T332:Z332))</f>
        <v/>
      </c>
      <c r="D332" s="21">
        <f>IF(ISBLANK(AB332), "", _xlfn.TEXTJOIN("", TRUE, AA332:AC332))</f>
        <v/>
      </c>
      <c r="E332" s="22">
        <f>IF(AU332="NA", _xlfn.TEXTJOIN("", TRUE, AD332:AH332), _xlfn.TEXTJOIN("", TRUE, AD332:AJ332))</f>
        <v/>
      </c>
      <c r="F332" s="42">
        <f>IF(LEFT(G332,4)="FY26","&lt;b&gt;","&lt;i&gt;")</f>
        <v/>
      </c>
      <c r="G332" s="42" t="inlineStr">
        <is>
          <t>FY27 Enhancement</t>
        </is>
      </c>
      <c r="H332" s="42">
        <f>IF(LEFT(G332,4)="FY26","&lt;/b&gt;","&lt;/i&gt;")</f>
        <v/>
      </c>
      <c r="I332" s="43" t="inlineStr">
        <is>
          <t>&lt;i&gt;</t>
        </is>
      </c>
      <c r="J332" s="44" t="inlineStr">
        <is>
          <t>General Government</t>
        </is>
      </c>
      <c r="K332" s="44" t="inlineStr">
        <is>
          <t>&lt;/i&gt;</t>
        </is>
      </c>
      <c r="L332" s="4">
        <f>IF(ISBLANK(N332),"","&lt;br&gt;")</f>
        <v/>
      </c>
      <c r="M332" s="42">
        <f>IF(ISBLANK(R332),"&lt;b&gt;","&lt;i&gt;")</f>
        <v/>
      </c>
      <c r="N332" s="42" t="inlineStr">
        <is>
          <t>Office of the Governor</t>
        </is>
      </c>
      <c r="O332" s="42">
        <f>IF(ISBLANK(R332),"&lt;/b&gt;","&lt;/i&gt;")</f>
        <v/>
      </c>
      <c r="P332" s="4">
        <f>IF(ISBLANK(R332),"","&lt;br&gt;")</f>
        <v/>
      </c>
      <c r="Q332" s="42">
        <f>IF(ISBLANK(R332),"","&lt;b&gt;")</f>
        <v/>
      </c>
      <c r="R332" s="42" t="inlineStr">
        <is>
          <t>Div. of Financial Management</t>
        </is>
      </c>
      <c r="S332" s="42">
        <f>IF(ISBLANK(R332),"","&lt;/i&gt;")</f>
        <v/>
      </c>
      <c r="T332" s="42">
        <f>IF(ISBLANK(X332),"",IF(OR(AB332="PASSED",ISBLANK(N332)),"&lt;b&gt;","&lt;i&gt;"))</f>
        <v/>
      </c>
      <c r="U332" s="3">
        <f>IF(ISBLANK(V332),"","&lt;a href='")</f>
        <v/>
      </c>
      <c r="V332" s="42" t="n"/>
      <c r="W332" s="17">
        <f>IF(ISBLANK(V332),"","'&gt;")</f>
        <v/>
      </c>
      <c r="X332" s="42" t="n"/>
      <c r="Y332" s="17">
        <f>IF(ISBLANK(X332),"","&lt;/a&gt;")</f>
        <v/>
      </c>
      <c r="Z332" s="57">
        <f>IF(ISBLANK(X332),"",IF(OR(AB332="PASSED",ISBLANK(N332)),"&lt;/b&gt;","&lt;/i&gt;"))</f>
        <v/>
      </c>
      <c r="AA332" s="43">
        <f>IF(AB332="PASSED","&lt;b&gt;","")</f>
        <v/>
      </c>
      <c r="AB332" s="45" t="inlineStr">
        <is>
          <t>—</t>
        </is>
      </c>
      <c r="AC332" s="43">
        <f>IF(AB332="PASSED","&lt;/b&gt;","")</f>
        <v/>
      </c>
      <c r="AD332" s="43">
        <f>IF(ISBLANK(AE332),"","&lt;b&gt;")</f>
        <v/>
      </c>
      <c r="AE332" s="42" t="n"/>
      <c r="AF332" s="42">
        <f>IF(ISBLANK(AE332),"",": ")</f>
        <v/>
      </c>
      <c r="AG332" s="42" t="inlineStr">
        <is>
          <t>Not Scheduled for Hearing</t>
        </is>
      </c>
      <c r="AH332" s="42">
        <f>IF(ISBLANK(AE332),"","&lt;/b&gt;")</f>
        <v/>
      </c>
      <c r="AI332" s="42" t="n"/>
      <c r="AJ332" s="42">
        <f>IF(ISBLANK(AI332),"","&lt;br&gt;"&amp;AI332)</f>
        <v/>
      </c>
      <c r="AK332" s="42" t="n"/>
      <c r="AL332" s="42" t="n"/>
      <c r="AM332" s="42" t="n"/>
      <c r="AN332" s="42">
        <f>IF(ISBLANK(AM332),"","&lt;/i&gt;")</f>
        <v/>
      </c>
      <c r="AO332" s="35">
        <f>IF(ISBLANK(AQ332),"","&lt;/b&gt;&lt;br&gt;&lt;br&gt;")</f>
        <v/>
      </c>
      <c r="AP332" s="42">
        <f>IF(ISBLANK(AQ332),"","&lt;b&gt;")</f>
        <v/>
      </c>
      <c r="AQ332" s="42" t="n"/>
      <c r="AR332" s="4" t="n"/>
      <c r="AS332" s="4">
        <f>IF(ISBLANK(AR332),""," %")</f>
        <v/>
      </c>
      <c r="AT332" s="4">
        <f t="array" ref="AT332">_xlfn.IFS(NOT(ISBLANK(AU332))," (pgs. ",NOT(ISBLANK(AS332))," (pg. ", ISBLANK(AS332), "")</f>
        <v/>
      </c>
      <c r="AU332" s="42" t="n"/>
      <c r="AV332" s="4">
        <f>IF(ISBLANK(AW332),"",", ")</f>
        <v/>
      </c>
      <c r="AW332" s="42" t="n"/>
      <c r="AX332" s="4">
        <f>IF(ISBLANK(AY332),"",",&lt;br&gt;")</f>
        <v/>
      </c>
      <c r="AY332" s="42" t="n"/>
      <c r="AZ332" s="49">
        <f>IF(ISBLANK(AU332),"",")&lt;/b&gt;")</f>
        <v/>
      </c>
      <c r="BA332" s="4">
        <f>IF(ISBLANK(BC332),"","&lt;br&gt;")</f>
        <v/>
      </c>
      <c r="BB332" s="42">
        <f t="array" ref="BB332">IF(ISBLANK(BC332),"",_xlfn.LET(
_xlpm.words,_xlfn.TEXTSPLIT(TRIM(BC332),"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32" s="50" t="n"/>
    </row>
    <row r="333">
      <c r="A333" s="20">
        <f>_xlfn.TEXTJOIN("", TRUE, F333:H333)</f>
        <v/>
      </c>
      <c r="B333" s="21">
        <f>_xlfn.TEXTJOIN("", TRUE, I333:S333)</f>
        <v/>
      </c>
      <c r="C333" s="21">
        <f>IF(ISBLANK(X333),"", _xlfn.TEXTJOIN("",TRUE,T333:Z333))</f>
        <v/>
      </c>
      <c r="D333" s="21">
        <f>IF(ISBLANK(AB333), "", _xlfn.TEXTJOIN("", TRUE, AA333:AC333))</f>
        <v/>
      </c>
      <c r="E333" s="22">
        <f>IF(AU333="NA", _xlfn.TEXTJOIN("", TRUE, AD333:AH333), _xlfn.TEXTJOIN("", TRUE, AD333:AJ333))</f>
        <v/>
      </c>
      <c r="F333" s="42">
        <f>IF(LEFT(G333,4)="FY26","&lt;b&gt;","&lt;i&gt;")</f>
        <v/>
      </c>
      <c r="G333" s="42" t="inlineStr">
        <is>
          <t>FY27 Enhancement</t>
        </is>
      </c>
      <c r="H333" s="42">
        <f>IF(LEFT(G333,4)="FY26","&lt;/b&gt;","&lt;/i&gt;")</f>
        <v/>
      </c>
      <c r="I333" s="43" t="inlineStr">
        <is>
          <t>&lt;i&gt;</t>
        </is>
      </c>
      <c r="J333" s="44" t="inlineStr">
        <is>
          <t>General Government</t>
        </is>
      </c>
      <c r="K333" s="44" t="inlineStr">
        <is>
          <t>&lt;/i&gt;</t>
        </is>
      </c>
      <c r="L333" s="4">
        <f>IF(ISBLANK(N333),"","&lt;br&gt;")</f>
        <v/>
      </c>
      <c r="M333" s="42">
        <f>IF(ISBLANK(R333),"&lt;b&gt;","&lt;i&gt;")</f>
        <v/>
      </c>
      <c r="N333" s="42" t="inlineStr">
        <is>
          <t>Office of the Governor</t>
        </is>
      </c>
      <c r="O333" s="42">
        <f>IF(ISBLANK(R333),"&lt;/b&gt;","&lt;/i&gt;")</f>
        <v/>
      </c>
      <c r="P333" s="4">
        <f>IF(ISBLANK(R333),"","&lt;br&gt;")</f>
        <v/>
      </c>
      <c r="Q333" s="42">
        <f>IF(ISBLANK(R333),"","&lt;b&gt;")</f>
        <v/>
      </c>
      <c r="R333" s="42" t="inlineStr">
        <is>
          <t>Div. of Human Resources</t>
        </is>
      </c>
      <c r="S333" s="42">
        <f>IF(ISBLANK(R333),"","&lt;/i&gt;")</f>
        <v/>
      </c>
      <c r="T333" s="42">
        <f>IF(ISBLANK(X333),"",IF(OR(AB333="PASSED",ISBLANK(N333)),"&lt;b&gt;","&lt;i&gt;"))</f>
        <v/>
      </c>
      <c r="U333" s="3">
        <f>IF(ISBLANK(V333),"","&lt;a href='")</f>
        <v/>
      </c>
      <c r="V333" s="42" t="n"/>
      <c r="W333" s="17">
        <f>IF(ISBLANK(V333),"","'&gt;")</f>
        <v/>
      </c>
      <c r="X333" s="42" t="n"/>
      <c r="Y333" s="17">
        <f>IF(ISBLANK(X333),"","&lt;/a&gt;")</f>
        <v/>
      </c>
      <c r="Z333" s="57">
        <f>IF(ISBLANK(X333),"",IF(OR(AB333="PASSED",ISBLANK(N333)),"&lt;/b&gt;","&lt;/i&gt;"))</f>
        <v/>
      </c>
      <c r="AA333" s="43">
        <f>IF(AB333="PASSED","&lt;b&gt;","")</f>
        <v/>
      </c>
      <c r="AB333" s="45" t="inlineStr">
        <is>
          <t>—</t>
        </is>
      </c>
      <c r="AC333" s="43">
        <f>IF(AB333="PASSED","&lt;/b&gt;","")</f>
        <v/>
      </c>
      <c r="AD333" s="43">
        <f>IF(ISBLANK(AE333),"","&lt;b&gt;")</f>
        <v/>
      </c>
      <c r="AE333" s="42" t="n"/>
      <c r="AF333" s="42">
        <f>IF(ISBLANK(AE333),"",": ")</f>
        <v/>
      </c>
      <c r="AG333" s="42" t="inlineStr">
        <is>
          <t>Not Scheduled for Hearing</t>
        </is>
      </c>
      <c r="AH333" s="42">
        <f>IF(ISBLANK(AE333),"","&lt;/b&gt;")</f>
        <v/>
      </c>
      <c r="AI333" s="42" t="n"/>
      <c r="AJ333" s="42">
        <f>IF(ISBLANK(AI333),"","&lt;br&gt;"&amp;AI333)</f>
        <v/>
      </c>
      <c r="AK333" s="42" t="n"/>
      <c r="AL333" s="42" t="n"/>
      <c r="AM333" s="42" t="n"/>
      <c r="AN333" s="42">
        <f>IF(ISBLANK(AM333),"","&lt;/i&gt;")</f>
        <v/>
      </c>
      <c r="AO333" s="35">
        <f>IF(ISBLANK(AQ333),"","&lt;/b&gt;&lt;br&gt;&lt;br&gt;")</f>
        <v/>
      </c>
      <c r="AP333" s="42">
        <f>IF(ISBLANK(AQ333),"","&lt;b&gt;")</f>
        <v/>
      </c>
      <c r="AQ333" s="42" t="n"/>
      <c r="AR333" s="4" t="n"/>
      <c r="AS333" s="4">
        <f>IF(ISBLANK(AR333),""," %")</f>
        <v/>
      </c>
      <c r="AT333" s="4">
        <f t="array" ref="AT333">_xlfn.IFS(NOT(ISBLANK(AU333))," (pgs. ",NOT(ISBLANK(AS333))," (pg. ", ISBLANK(AS333), "")</f>
        <v/>
      </c>
      <c r="AU333" s="42" t="n"/>
      <c r="AV333" s="4">
        <f>IF(ISBLANK(AW333),"",", ")</f>
        <v/>
      </c>
      <c r="AW333" s="42" t="n"/>
      <c r="AX333" s="4">
        <f>IF(ISBLANK(AY333),"",",&lt;br&gt;")</f>
        <v/>
      </c>
      <c r="AY333" s="42" t="n"/>
      <c r="AZ333" s="49">
        <f>IF(ISBLANK(AU333),"",")&lt;/b&gt;")</f>
        <v/>
      </c>
      <c r="BA333" s="4">
        <f>IF(ISBLANK(BC333),"","&lt;br&gt;")</f>
        <v/>
      </c>
      <c r="BB333" s="42">
        <f t="array" ref="BB333">IF(ISBLANK(BC333),"",_xlfn.LET(
_xlpm.words,_xlfn.TEXTSPLIT(TRIM(BC333),"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33" s="50" t="n"/>
    </row>
    <row r="334">
      <c r="A334" s="20">
        <f>_xlfn.TEXTJOIN("", TRUE, F334:H334)</f>
        <v/>
      </c>
      <c r="B334" s="21">
        <f>_xlfn.TEXTJOIN("", TRUE, I334:S334)</f>
        <v/>
      </c>
      <c r="C334" s="21">
        <f>IF(ISBLANK(X334),"", _xlfn.TEXTJOIN("",TRUE,T334:Z334))</f>
        <v/>
      </c>
      <c r="D334" s="21">
        <f>IF(ISBLANK(AB334), "", _xlfn.TEXTJOIN("", TRUE, AA334:AC334))</f>
        <v/>
      </c>
      <c r="E334" s="22">
        <f>IF(AU334="NA", _xlfn.TEXTJOIN("", TRUE, AD334:AH334), _xlfn.TEXTJOIN("", TRUE, AD334:AJ334))</f>
        <v/>
      </c>
      <c r="F334" s="42">
        <f>IF(LEFT(G334,4)="FY26","&lt;b&gt;","&lt;i&gt;")</f>
        <v/>
      </c>
      <c r="G334" s="42" t="inlineStr">
        <is>
          <t>FY27 Enhancement</t>
        </is>
      </c>
      <c r="H334" s="42">
        <f>IF(LEFT(G334,4)="FY26","&lt;/b&gt;","&lt;/i&gt;")</f>
        <v/>
      </c>
      <c r="I334" s="43" t="inlineStr">
        <is>
          <t>&lt;i&gt;</t>
        </is>
      </c>
      <c r="J334" s="44" t="inlineStr">
        <is>
          <t>General Government</t>
        </is>
      </c>
      <c r="K334" s="44" t="inlineStr">
        <is>
          <t>&lt;/i&gt;</t>
        </is>
      </c>
      <c r="L334" s="4">
        <f>IF(ISBLANK(N334),"","&lt;br&gt;")</f>
        <v/>
      </c>
      <c r="M334" s="42">
        <f>IF(ISBLANK(R334),"&lt;b&gt;","&lt;i&gt;")</f>
        <v/>
      </c>
      <c r="N334" s="42" t="inlineStr">
        <is>
          <t>Office of the Governor</t>
        </is>
      </c>
      <c r="O334" s="42">
        <f>IF(ISBLANK(R334),"&lt;/b&gt;","&lt;/i&gt;")</f>
        <v/>
      </c>
      <c r="P334" s="4">
        <f>IF(ISBLANK(R334),"","&lt;br&gt;")</f>
        <v/>
      </c>
      <c r="Q334" s="42">
        <f>IF(ISBLANK(R334),"","&lt;b&gt;")</f>
        <v/>
      </c>
      <c r="R334" s="42" t="inlineStr">
        <is>
          <t>Office of Drug Policy</t>
        </is>
      </c>
      <c r="S334" s="42">
        <f>IF(ISBLANK(R334),"","&lt;/i&gt;")</f>
        <v/>
      </c>
      <c r="T334" s="42">
        <f>IF(ISBLANK(X334),"",IF(OR(AB334="PASSED",ISBLANK(N334)),"&lt;b&gt;","&lt;i&gt;"))</f>
        <v/>
      </c>
      <c r="U334" s="3">
        <f>IF(ISBLANK(V334),"","&lt;a href='")</f>
        <v/>
      </c>
      <c r="V334" s="42" t="n"/>
      <c r="W334" s="17">
        <f>IF(ISBLANK(V334),"","'&gt;")</f>
        <v/>
      </c>
      <c r="X334" s="42" t="n"/>
      <c r="Y334" s="17">
        <f>IF(ISBLANK(X334),"","&lt;/a&gt;")</f>
        <v/>
      </c>
      <c r="Z334" s="57">
        <f>IF(ISBLANK(X334),"",IF(OR(AB334="PASSED",ISBLANK(N334)),"&lt;/b&gt;","&lt;/i&gt;"))</f>
        <v/>
      </c>
      <c r="AA334" s="43">
        <f>IF(AB334="PASSED","&lt;b&gt;","")</f>
        <v/>
      </c>
      <c r="AB334" s="45" t="inlineStr">
        <is>
          <t>—</t>
        </is>
      </c>
      <c r="AC334" s="43">
        <f>IF(AB334="PASSED","&lt;/b&gt;","")</f>
        <v/>
      </c>
      <c r="AD334" s="43">
        <f>IF(ISBLANK(AE334),"","&lt;b&gt;")</f>
        <v/>
      </c>
      <c r="AE334" s="42" t="n"/>
      <c r="AF334" s="42">
        <f>IF(ISBLANK(AE334),"",": ")</f>
        <v/>
      </c>
      <c r="AG334" s="42" t="inlineStr">
        <is>
          <t>Not Scheduled for Hearing</t>
        </is>
      </c>
      <c r="AH334" s="42">
        <f>IF(ISBLANK(AE334),"","&lt;/b&gt;")</f>
        <v/>
      </c>
      <c r="AI334" s="42" t="n"/>
      <c r="AJ334" s="42">
        <f>IF(ISBLANK(AI334),"","&lt;br&gt;"&amp;AI334)</f>
        <v/>
      </c>
      <c r="AK334" s="42" t="n"/>
      <c r="AL334" s="42" t="n"/>
      <c r="AM334" s="42" t="n"/>
      <c r="AN334" s="42">
        <f>IF(ISBLANK(AM334),"","&lt;/i&gt;")</f>
        <v/>
      </c>
      <c r="AO334" s="35">
        <f>IF(ISBLANK(AQ334),"","&lt;/b&gt;&lt;br&gt;&lt;br&gt;")</f>
        <v/>
      </c>
      <c r="AP334" s="42">
        <f>IF(ISBLANK(AQ334),"","&lt;b&gt;")</f>
        <v/>
      </c>
      <c r="AQ334" s="42" t="n"/>
      <c r="AR334" s="4" t="n"/>
      <c r="AS334" s="4">
        <f>IF(ISBLANK(AR334),""," %")</f>
        <v/>
      </c>
      <c r="AT334" s="4">
        <f t="array" ref="AT334">_xlfn.IFS(NOT(ISBLANK(AU334))," (pgs. ",NOT(ISBLANK(AS334))," (pg. ", ISBLANK(AS334), "")</f>
        <v/>
      </c>
      <c r="AU334" s="42" t="n"/>
      <c r="AV334" s="4">
        <f>IF(ISBLANK(AW334),"",", ")</f>
        <v/>
      </c>
      <c r="AW334" s="42" t="n"/>
      <c r="AX334" s="4">
        <f>IF(ISBLANK(AY334),"",",&lt;br&gt;")</f>
        <v/>
      </c>
      <c r="AY334" s="42" t="n"/>
      <c r="AZ334" s="49">
        <f>IF(ISBLANK(AU334),"",")&lt;/b&gt;")</f>
        <v/>
      </c>
      <c r="BA334" s="4">
        <f>IF(ISBLANK(BC334),"","&lt;br&gt;")</f>
        <v/>
      </c>
      <c r="BB334" s="42">
        <f t="array" ref="BB334">IF(ISBLANK(BC334),"",_xlfn.LET(
_xlpm.words,_xlfn.TEXTSPLIT(TRIM(BC334),"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34" s="50" t="n"/>
    </row>
    <row r="335">
      <c r="A335" s="20">
        <f>_xlfn.TEXTJOIN("", TRUE, F335:H335)</f>
        <v/>
      </c>
      <c r="B335" s="21">
        <f>_xlfn.TEXTJOIN("", TRUE, I335:S335)</f>
        <v/>
      </c>
      <c r="C335" s="21">
        <f>IF(ISBLANK(X335),"", _xlfn.TEXTJOIN("",TRUE,T335:Z335))</f>
        <v/>
      </c>
      <c r="D335" s="21">
        <f>IF(ISBLANK(AB335), "", _xlfn.TEXTJOIN("", TRUE, AA335:AC335))</f>
        <v/>
      </c>
      <c r="E335" s="22">
        <f>IF(AU335="NA", _xlfn.TEXTJOIN("", TRUE, AD335:AH335), _xlfn.TEXTJOIN("", TRUE, AD335:AJ335))</f>
        <v/>
      </c>
      <c r="F335" s="42">
        <f>IF(LEFT(G335,4)="FY26","&lt;b&gt;","&lt;i&gt;")</f>
        <v/>
      </c>
      <c r="G335" s="42" t="inlineStr">
        <is>
          <t>FY27 Enhancement</t>
        </is>
      </c>
      <c r="H335" s="42">
        <f>IF(LEFT(G335,4)="FY26","&lt;/b&gt;","&lt;/i&gt;")</f>
        <v/>
      </c>
      <c r="I335" s="43" t="inlineStr">
        <is>
          <t>&lt;i&gt;</t>
        </is>
      </c>
      <c r="J335" s="44" t="inlineStr">
        <is>
          <t>General Government</t>
        </is>
      </c>
      <c r="K335" s="44" t="inlineStr">
        <is>
          <t>&lt;/i&gt;</t>
        </is>
      </c>
      <c r="L335" s="4">
        <f>IF(ISBLANK(N335),"","&lt;br&gt;")</f>
        <v/>
      </c>
      <c r="M335" s="42">
        <f>IF(ISBLANK(R335),"&lt;b&gt;","&lt;i&gt;")</f>
        <v/>
      </c>
      <c r="N335" s="42" t="inlineStr">
        <is>
          <t>Office of the Governor</t>
        </is>
      </c>
      <c r="O335" s="42">
        <f>IF(ISBLANK(R335),"&lt;/b&gt;","&lt;/i&gt;")</f>
        <v/>
      </c>
      <c r="P335" s="4">
        <f>IF(ISBLANK(R335),"","&lt;br&gt;")</f>
        <v/>
      </c>
      <c r="Q335" s="42">
        <f>IF(ISBLANK(R335),"","&lt;b&gt;")</f>
        <v/>
      </c>
      <c r="R335" s="42" t="inlineStr">
        <is>
          <t>STEM Action Center</t>
        </is>
      </c>
      <c r="S335" s="42">
        <f>IF(ISBLANK(R335),"","&lt;/i&gt;")</f>
        <v/>
      </c>
      <c r="T335" s="42">
        <f>IF(ISBLANK(X335),"",IF(OR(AB335="PASSED",ISBLANK(N335)),"&lt;b&gt;","&lt;i&gt;"))</f>
        <v/>
      </c>
      <c r="U335" s="3">
        <f>IF(ISBLANK(V335),"","&lt;a href='")</f>
        <v/>
      </c>
      <c r="V335" s="42" t="n"/>
      <c r="W335" s="17">
        <f>IF(ISBLANK(V335),"","'&gt;")</f>
        <v/>
      </c>
      <c r="X335" s="42" t="n"/>
      <c r="Y335" s="17">
        <f>IF(ISBLANK(X335),"","&lt;/a&gt;")</f>
        <v/>
      </c>
      <c r="Z335" s="57">
        <f>IF(ISBLANK(X335),"",IF(OR(AB335="PASSED",ISBLANK(N335)),"&lt;/b&gt;","&lt;/i&gt;"))</f>
        <v/>
      </c>
      <c r="AA335" s="43">
        <f>IF(AB335="PASSED","&lt;b&gt;","")</f>
        <v/>
      </c>
      <c r="AB335" s="45" t="inlineStr">
        <is>
          <t>—</t>
        </is>
      </c>
      <c r="AC335" s="43">
        <f>IF(AB335="PASSED","&lt;/b&gt;","")</f>
        <v/>
      </c>
      <c r="AD335" s="43">
        <f>IF(ISBLANK(AE335),"","&lt;b&gt;")</f>
        <v/>
      </c>
      <c r="AE335" s="42" t="n"/>
      <c r="AF335" s="42">
        <f>IF(ISBLANK(AE335),"",": ")</f>
        <v/>
      </c>
      <c r="AG335" s="42" t="inlineStr">
        <is>
          <t>Not Scheduled for Hearing</t>
        </is>
      </c>
      <c r="AH335" s="42">
        <f>IF(ISBLANK(AE335),"","&lt;/b&gt;")</f>
        <v/>
      </c>
      <c r="AI335" s="42" t="n"/>
      <c r="AJ335" s="42">
        <f>IF(ISBLANK(AI335),"","&lt;br&gt;"&amp;AI335)</f>
        <v/>
      </c>
      <c r="AK335" s="42" t="n"/>
      <c r="AL335" s="42" t="n"/>
      <c r="AM335" s="42" t="n"/>
      <c r="AN335" s="42">
        <f>IF(ISBLANK(AM335),"","&lt;/i&gt;")</f>
        <v/>
      </c>
      <c r="AO335" s="35">
        <f>IF(ISBLANK(AQ335),"","&lt;/b&gt;&lt;br&gt;&lt;br&gt;")</f>
        <v/>
      </c>
      <c r="AP335" s="42">
        <f>IF(ISBLANK(AQ335),"","&lt;b&gt;")</f>
        <v/>
      </c>
      <c r="AQ335" s="42" t="n"/>
      <c r="AR335" s="4" t="n"/>
      <c r="AS335" s="4">
        <f>IF(ISBLANK(AR335),""," %")</f>
        <v/>
      </c>
      <c r="AT335" s="4">
        <f t="array" ref="AT335">_xlfn.IFS(NOT(ISBLANK(AU335))," (pgs. ",NOT(ISBLANK(AS335))," (pg. ", ISBLANK(AS335), "")</f>
        <v/>
      </c>
      <c r="AU335" s="42" t="n"/>
      <c r="AV335" s="4">
        <f>IF(ISBLANK(AW335),"",", ")</f>
        <v/>
      </c>
      <c r="AW335" s="42" t="n"/>
      <c r="AX335" s="4">
        <f>IF(ISBLANK(AY335),"",",&lt;br&gt;")</f>
        <v/>
      </c>
      <c r="AY335" s="42" t="n"/>
      <c r="AZ335" s="49">
        <f>IF(ISBLANK(AU335),"",")&lt;/b&gt;")</f>
        <v/>
      </c>
      <c r="BA335" s="4">
        <f>IF(ISBLANK(BC335),"","&lt;br&gt;")</f>
        <v/>
      </c>
      <c r="BB335" s="42">
        <f t="array" ref="BB335">IF(ISBLANK(BC335),"",_xlfn.LET(
_xlpm.words,_xlfn.TEXTSPLIT(TRIM(BC335),"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35" s="50" t="n"/>
    </row>
    <row r="336">
      <c r="A336" s="20">
        <f>_xlfn.TEXTJOIN("", TRUE, F336:H336)</f>
        <v/>
      </c>
      <c r="B336" s="21">
        <f>_xlfn.TEXTJOIN("", TRUE, I336:S336)</f>
        <v/>
      </c>
      <c r="C336" s="21">
        <f>IF(ISBLANK(X336),"", _xlfn.TEXTJOIN("",TRUE,T336:Z336))</f>
        <v/>
      </c>
      <c r="D336" s="21">
        <f>IF(ISBLANK(AB336), "", _xlfn.TEXTJOIN("", TRUE, AA336:AC336))</f>
        <v/>
      </c>
      <c r="E336" s="22">
        <f>IF(AU336="NA", _xlfn.TEXTJOIN("", TRUE, AD336:AH336), _xlfn.TEXTJOIN("", TRUE, AD336:AJ336))</f>
        <v/>
      </c>
      <c r="F336" s="42">
        <f>IF(LEFT(G336,4)="FY26","&lt;b&gt;","&lt;i&gt;")</f>
        <v/>
      </c>
      <c r="G336" s="42" t="inlineStr">
        <is>
          <t>FY27 Enhancement</t>
        </is>
      </c>
      <c r="H336" s="42">
        <f>IF(LEFT(G336,4)="FY26","&lt;/b&gt;","&lt;/i&gt;")</f>
        <v/>
      </c>
      <c r="I336" s="43" t="inlineStr">
        <is>
          <t>&lt;i&gt;</t>
        </is>
      </c>
      <c r="J336" s="44" t="inlineStr">
        <is>
          <t>General Government</t>
        </is>
      </c>
      <c r="K336" s="44" t="inlineStr">
        <is>
          <t>&lt;/i&gt;</t>
        </is>
      </c>
      <c r="L336" s="4">
        <f>IF(ISBLANK(N336),"","&lt;br&gt;")</f>
        <v/>
      </c>
      <c r="M336" s="42">
        <f>IF(ISBLANK(R336),"&lt;b&gt;","&lt;i&gt;")</f>
        <v/>
      </c>
      <c r="N336" s="42" t="inlineStr">
        <is>
          <t>Office of the Governor</t>
        </is>
      </c>
      <c r="O336" s="42">
        <f>IF(ISBLANK(R336),"&lt;/b&gt;","&lt;/i&gt;")</f>
        <v/>
      </c>
      <c r="P336" s="4">
        <f>IF(ISBLANK(R336),"","&lt;br&gt;")</f>
        <v/>
      </c>
      <c r="Q336" s="42">
        <f>IF(ISBLANK(R336),"","&lt;b&gt;")</f>
        <v/>
      </c>
      <c r="R336" s="42" t="inlineStr">
        <is>
          <t>Wolf Depredation Control Board</t>
        </is>
      </c>
      <c r="S336" s="42">
        <f>IF(ISBLANK(R336),"","&lt;/i&gt;")</f>
        <v/>
      </c>
      <c r="T336" s="42">
        <f>IF(ISBLANK(X336),"",IF(OR(AB336="PASSED",ISBLANK(N336)),"&lt;b&gt;","&lt;i&gt;"))</f>
        <v/>
      </c>
      <c r="U336" s="3">
        <f>IF(ISBLANK(V336),"","&lt;a href='")</f>
        <v/>
      </c>
      <c r="V336" s="42" t="n"/>
      <c r="W336" s="17">
        <f>IF(ISBLANK(V336),"","'&gt;")</f>
        <v/>
      </c>
      <c r="X336" s="42" t="n"/>
      <c r="Y336" s="17">
        <f>IF(ISBLANK(X336),"","&lt;/a&gt;")</f>
        <v/>
      </c>
      <c r="Z336" s="42">
        <f>IF(ISBLANK(X336),"",IF(OR(AB336="PASSED",ISBLANK(N336)),"&lt;/b&gt;","&lt;/i&gt;"))</f>
        <v/>
      </c>
      <c r="AA336" s="43">
        <f>IF(AB336="PASSED","&lt;b&gt;","")</f>
        <v/>
      </c>
      <c r="AB336" s="45" t="inlineStr">
        <is>
          <t>—</t>
        </is>
      </c>
      <c r="AC336" s="43">
        <f>IF(AB336="PASSED","&lt;/b&gt;","")</f>
        <v/>
      </c>
      <c r="AD336" s="43">
        <f>IF(ISBLANK(AE336),"","&lt;b&gt;")</f>
        <v/>
      </c>
      <c r="AE336" s="42" t="n"/>
      <c r="AF336" s="42">
        <f>IF(ISBLANK(AE336),"",": ")</f>
        <v/>
      </c>
      <c r="AG336" s="42" t="inlineStr">
        <is>
          <t>Not Scheduled for Hearing</t>
        </is>
      </c>
      <c r="AH336" s="42">
        <f>IF(ISBLANK(AE336),"","&lt;/b&gt;")</f>
        <v/>
      </c>
      <c r="AI336" s="42" t="n"/>
      <c r="AJ336" s="42">
        <f>IF(ISBLANK(AI336),"","&lt;br&gt;"&amp;AI336)</f>
        <v/>
      </c>
      <c r="AK336" s="42" t="n"/>
      <c r="AL336" s="42" t="n"/>
      <c r="AM336" s="42" t="n"/>
      <c r="AN336" s="42">
        <f>IF(ISBLANK(AM336),"","&lt;/i&gt;")</f>
        <v/>
      </c>
      <c r="AO336" s="35">
        <f>IF(ISBLANK(AQ336),"","&lt;/b&gt;&lt;br&gt;&lt;br&gt;")</f>
        <v/>
      </c>
      <c r="AP336" s="42">
        <f>IF(ISBLANK(AQ336),"","&lt;b&gt;")</f>
        <v/>
      </c>
      <c r="AQ336" s="42" t="n"/>
      <c r="AR336" s="4" t="n"/>
      <c r="AS336" s="4">
        <f>IF(ISBLANK(AR336),""," %")</f>
        <v/>
      </c>
      <c r="AT336" s="4">
        <f t="array" ref="AT336">_xlfn.IFS(NOT(ISBLANK(AU336))," (pgs. ",NOT(ISBLANK(AS336))," (pg. ", ISBLANK(AS336), "")</f>
        <v/>
      </c>
      <c r="AU336" s="42" t="n"/>
      <c r="AV336" s="4">
        <f>IF(ISBLANK(AW336),"",", ")</f>
        <v/>
      </c>
      <c r="AW336" s="42" t="n"/>
      <c r="AX336" s="4">
        <f>IF(ISBLANK(AY336),"",",&lt;br&gt;")</f>
        <v/>
      </c>
      <c r="AY336" s="42" t="n"/>
      <c r="AZ336" s="49">
        <f>IF(ISBLANK(AU336),"",")&lt;/b&gt;")</f>
        <v/>
      </c>
      <c r="BA336" s="4">
        <f>IF(ISBLANK(BC336),"","&lt;br&gt;")</f>
        <v/>
      </c>
      <c r="BB336" s="42">
        <f t="array" ref="BB336">IF(ISBLANK(BC336),"",_xlfn.LET(
_xlpm.words,_xlfn.TEXTSPLIT(TRIM(BC336),"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36" s="50" t="n"/>
    </row>
    <row r="337">
      <c r="A337" s="20">
        <f>_xlfn.TEXTJOIN("", TRUE, F337:H337)</f>
        <v/>
      </c>
      <c r="B337" s="21">
        <f>_xlfn.TEXTJOIN("", TRUE, I337:S337)</f>
        <v/>
      </c>
      <c r="C337" s="21">
        <f>IF(ISBLANK(X337),"", _xlfn.TEXTJOIN("",TRUE,T337:Z337))</f>
        <v/>
      </c>
      <c r="D337" s="21">
        <f>IF(ISBLANK(AB337), "", _xlfn.TEXTJOIN("", TRUE, AA337:AC337))</f>
        <v/>
      </c>
      <c r="E337" s="22">
        <f>IF(AU337="NA", _xlfn.TEXTJOIN("", TRUE, AD337:AH337), _xlfn.TEXTJOIN("", TRUE, AD337:AJ337))</f>
        <v/>
      </c>
      <c r="F337" s="42">
        <f>IF(LEFT(G337,4)="FY26","&lt;b&gt;","&lt;i&gt;")</f>
        <v/>
      </c>
      <c r="G337" s="42" t="inlineStr">
        <is>
          <t>FY27 Enhancement</t>
        </is>
      </c>
      <c r="H337" s="42">
        <f>IF(LEFT(G337,4)="FY26","&lt;/b&gt;","&lt;/i&gt;")</f>
        <v/>
      </c>
      <c r="I337" s="43" t="inlineStr">
        <is>
          <t>&lt;i&gt;</t>
        </is>
      </c>
      <c r="J337" s="44" t="inlineStr">
        <is>
          <t>Health &amp; Human Services</t>
        </is>
      </c>
      <c r="K337" s="44" t="inlineStr">
        <is>
          <t>&lt;/i&gt;</t>
        </is>
      </c>
      <c r="L337" s="4">
        <f>IF(ISBLANK(N337),"","&lt;br&gt;")</f>
        <v/>
      </c>
      <c r="M337" s="42">
        <f>IF(ISBLANK(R337),"&lt;b&gt;","&lt;i&gt;")</f>
        <v/>
      </c>
      <c r="N337" s="42" t="inlineStr">
        <is>
          <t>Dept. of Health &amp; Welfare</t>
        </is>
      </c>
      <c r="O337" s="42">
        <f>IF(ISBLANK(R337),"&lt;/b&gt;","&lt;/i&gt;")</f>
        <v/>
      </c>
      <c r="P337" s="4">
        <f>IF(ISBLANK(R337),"","&lt;br&gt;")</f>
        <v/>
      </c>
      <c r="Q337" s="42">
        <f>IF(ISBLANK(R337),"","&lt;b&gt;")</f>
        <v/>
      </c>
      <c r="R337" s="42" t="inlineStr">
        <is>
          <t>Independent Councils</t>
        </is>
      </c>
      <c r="S337" s="42">
        <f>IF(ISBLANK(R337),"","&lt;/i&gt;")</f>
        <v/>
      </c>
      <c r="T337" s="42">
        <f>IF(ISBLANK(X337),"",IF(OR(AB337="PASSED",ISBLANK(N337)),"&lt;b&gt;","&lt;i&gt;"))</f>
        <v/>
      </c>
      <c r="U337" s="3">
        <f>IF(ISBLANK(V337),"","&lt;a href='")</f>
        <v/>
      </c>
      <c r="V337" s="42" t="n"/>
      <c r="W337" s="17">
        <f>IF(ISBLANK(V337),"","'&gt;")</f>
        <v/>
      </c>
      <c r="X337" s="42" t="n"/>
      <c r="Y337" s="17">
        <f>IF(ISBLANK(X337),"","&lt;/a&gt;")</f>
        <v/>
      </c>
      <c r="Z337" s="42">
        <f>IF(ISBLANK(X337),"",IF(OR(AB337="PASSED",ISBLANK(N337)),"&lt;/b&gt;","&lt;/i&gt;"))</f>
        <v/>
      </c>
      <c r="AA337" s="43">
        <f>IF(AB337="PASSED","&lt;b&gt;","")</f>
        <v/>
      </c>
      <c r="AB337" s="45" t="inlineStr">
        <is>
          <t>—</t>
        </is>
      </c>
      <c r="AC337" s="43">
        <f>IF(AB337="PASSED","&lt;/b&gt;","")</f>
        <v/>
      </c>
      <c r="AD337" s="43">
        <f>IF(ISBLANK(AE337),"","&lt;b&gt;")</f>
        <v/>
      </c>
      <c r="AE337" s="42" t="n"/>
      <c r="AF337" s="42">
        <f>IF(ISBLANK(AE337),"",": ")</f>
        <v/>
      </c>
      <c r="AG337" s="42" t="inlineStr">
        <is>
          <t>Not Scheduled for Hearing</t>
        </is>
      </c>
      <c r="AH337" s="42">
        <f>IF(ISBLANK(AE337),"","&lt;/b&gt;")</f>
        <v/>
      </c>
      <c r="AI337" s="42" t="n"/>
      <c r="AJ337" s="42">
        <f>IF(ISBLANK(AI337),"","&lt;br&gt;"&amp;AI337)</f>
        <v/>
      </c>
      <c r="AK337" s="42" t="n"/>
      <c r="AL337" s="42" t="n"/>
      <c r="AM337" s="42" t="n"/>
      <c r="AN337" s="42">
        <f>IF(ISBLANK(AM337),"","&lt;/i&gt;")</f>
        <v/>
      </c>
      <c r="AO337" s="35">
        <f>IF(ISBLANK(AQ337),"","&lt;/b&gt;&lt;br&gt;&lt;br&gt;")</f>
        <v/>
      </c>
      <c r="AP337" s="42">
        <f>IF(ISBLANK(AQ337),"","&lt;b&gt;")</f>
        <v/>
      </c>
      <c r="AQ337" s="42" t="n"/>
      <c r="AR337" s="4" t="n"/>
      <c r="AS337" s="4">
        <f>IF(ISBLANK(AR337),""," %")</f>
        <v/>
      </c>
      <c r="AT337" s="4">
        <f t="array" ref="AT337">_xlfn.IFS(NOT(ISBLANK(AU337))," (pgs. ",NOT(ISBLANK(AS337))," (pg. ", ISBLANK(AS337), "")</f>
        <v/>
      </c>
      <c r="AU337" s="42" t="n"/>
      <c r="AV337" s="4">
        <f>IF(ISBLANK(AW337),"",", ")</f>
        <v/>
      </c>
      <c r="AW337" s="42" t="n"/>
      <c r="AX337" s="4">
        <f>IF(ISBLANK(AY337),"",",&lt;br&gt;")</f>
        <v/>
      </c>
      <c r="AY337" s="42" t="n"/>
      <c r="AZ337" s="49">
        <f>IF(ISBLANK(AU337),"",")&lt;/b&gt;")</f>
        <v/>
      </c>
      <c r="BA337" s="4">
        <f>IF(ISBLANK(BC337),"","&lt;br&gt;")</f>
        <v/>
      </c>
      <c r="BB337" s="42">
        <f t="array" ref="BB337">IF(ISBLANK(BC337),"",_xlfn.LET(
_xlpm.words,_xlfn.TEXTSPLIT(TRIM(BC337),"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37" s="50" t="n"/>
    </row>
    <row r="338">
      <c r="A338" s="20">
        <f>_xlfn.TEXTJOIN("", TRUE, F338:H338)</f>
        <v/>
      </c>
      <c r="B338" s="21">
        <f>_xlfn.TEXTJOIN("", TRUE, I338:S338)</f>
        <v/>
      </c>
      <c r="C338" s="21">
        <f>IF(ISBLANK(X338),"", _xlfn.TEXTJOIN("",TRUE,T338:Z338))</f>
        <v/>
      </c>
      <c r="D338" s="21">
        <f>IF(ISBLANK(AB338), "", _xlfn.TEXTJOIN("", TRUE, AA338:AC338))</f>
        <v/>
      </c>
      <c r="E338" s="22">
        <f>IF(AU338="NA", _xlfn.TEXTJOIN("", TRUE, AD338:AH338), _xlfn.TEXTJOIN("", TRUE, AD338:AJ338))</f>
        <v/>
      </c>
      <c r="F338" s="42">
        <f>IF(LEFT(G338,4)="FY26","&lt;b&gt;","&lt;i&gt;")</f>
        <v/>
      </c>
      <c r="G338" s="42" t="inlineStr">
        <is>
          <t>FY27 Enhancement</t>
        </is>
      </c>
      <c r="H338" s="42">
        <f>IF(LEFT(G338,4)="FY26","&lt;/b&gt;","&lt;/i&gt;")</f>
        <v/>
      </c>
      <c r="I338" s="43" t="inlineStr">
        <is>
          <t>&lt;i&gt;</t>
        </is>
      </c>
      <c r="J338" s="44" t="inlineStr">
        <is>
          <t>Health &amp; Human Services</t>
        </is>
      </c>
      <c r="K338" s="44" t="inlineStr">
        <is>
          <t>&lt;/i&gt;</t>
        </is>
      </c>
      <c r="L338" s="4">
        <f>IF(ISBLANK(N338),"","&lt;br&gt;")</f>
        <v/>
      </c>
      <c r="M338" s="42">
        <f>IF(ISBLANK(R338),"&lt;b&gt;","&lt;i&gt;")</f>
        <v/>
      </c>
      <c r="N338" s="42" t="inlineStr">
        <is>
          <t>Dept. of Health &amp; Welfare</t>
        </is>
      </c>
      <c r="O338" s="42">
        <f>IF(ISBLANK(R338),"&lt;/b&gt;","&lt;/i&gt;")</f>
        <v/>
      </c>
      <c r="P338" s="4">
        <f>IF(ISBLANK(R338),"","&lt;br&gt;")</f>
        <v/>
      </c>
      <c r="Q338" s="42">
        <f>IF(ISBLANK(R338),"","&lt;b&gt;")</f>
        <v/>
      </c>
      <c r="R338" s="42" t="inlineStr">
        <is>
          <t>Licensing &amp; Certification</t>
        </is>
      </c>
      <c r="S338" s="42">
        <f>IF(ISBLANK(R338),"","&lt;/i&gt;")</f>
        <v/>
      </c>
      <c r="T338" s="42">
        <f>IF(ISBLANK(X338),"",IF(OR(AB338="PASSED",ISBLANK(N338)),"&lt;b&gt;","&lt;i&gt;"))</f>
        <v/>
      </c>
      <c r="U338" s="3">
        <f>IF(ISBLANK(V338),"","&lt;a href='")</f>
        <v/>
      </c>
      <c r="V338" s="42" t="n"/>
      <c r="W338" s="17">
        <f>IF(ISBLANK(V338),"","'&gt;")</f>
        <v/>
      </c>
      <c r="X338" s="42" t="n"/>
      <c r="Y338" s="17">
        <f>IF(ISBLANK(X338),"","&lt;/a&gt;")</f>
        <v/>
      </c>
      <c r="Z338" s="42">
        <f>IF(ISBLANK(X338),"",IF(OR(AB338="PASSED",ISBLANK(N338)),"&lt;/b&gt;","&lt;/i&gt;"))</f>
        <v/>
      </c>
      <c r="AA338" s="43">
        <f>IF(AB338="PASSED","&lt;b&gt;","")</f>
        <v/>
      </c>
      <c r="AB338" s="45" t="inlineStr">
        <is>
          <t>—</t>
        </is>
      </c>
      <c r="AC338" s="43">
        <f>IF(AB338="PASSED","&lt;/b&gt;","")</f>
        <v/>
      </c>
      <c r="AD338" s="43">
        <f>IF(ISBLANK(AE338),"","&lt;b&gt;")</f>
        <v/>
      </c>
      <c r="AE338" s="42" t="n"/>
      <c r="AF338" s="42">
        <f>IF(ISBLANK(AE338),"",": ")</f>
        <v/>
      </c>
      <c r="AG338" s="42" t="inlineStr">
        <is>
          <t>Not Scheduled for Hearing</t>
        </is>
      </c>
      <c r="AH338" s="42">
        <f>IF(ISBLANK(AE338),"","&lt;/b&gt;")</f>
        <v/>
      </c>
      <c r="AI338" s="42" t="n"/>
      <c r="AJ338" s="42">
        <f>IF(ISBLANK(AI338),"","&lt;br&gt;"&amp;AI338)</f>
        <v/>
      </c>
      <c r="AK338" s="42" t="n"/>
      <c r="AL338" s="42" t="n"/>
      <c r="AM338" s="42" t="n"/>
      <c r="AN338" s="42">
        <f>IF(ISBLANK(AM338),"","&lt;/i&gt;")</f>
        <v/>
      </c>
      <c r="AO338" s="35">
        <f>IF(ISBLANK(AQ338),"","&lt;/b&gt;&lt;br&gt;&lt;br&gt;")</f>
        <v/>
      </c>
      <c r="AP338" s="42">
        <f>IF(ISBLANK(AQ338),"","&lt;b&gt;")</f>
        <v/>
      </c>
      <c r="AQ338" s="42" t="n"/>
      <c r="AR338" s="4" t="n"/>
      <c r="AS338" s="4">
        <f>IF(ISBLANK(AR338),""," %")</f>
        <v/>
      </c>
      <c r="AT338" s="4">
        <f t="array" ref="AT338">_xlfn.IFS(NOT(ISBLANK(AU338))," (pgs. ",NOT(ISBLANK(AS338))," (pg. ", ISBLANK(AS338), "")</f>
        <v/>
      </c>
      <c r="AU338" s="42" t="n"/>
      <c r="AV338" s="4">
        <f>IF(ISBLANK(AW338),"",", ")</f>
        <v/>
      </c>
      <c r="AW338" s="42" t="n"/>
      <c r="AX338" s="4">
        <f>IF(ISBLANK(AY338),"",",&lt;br&gt;")</f>
        <v/>
      </c>
      <c r="AY338" s="42" t="n"/>
      <c r="AZ338" s="49">
        <f>IF(ISBLANK(AU338),"",")&lt;/b&gt;")</f>
        <v/>
      </c>
      <c r="BA338" s="4">
        <f>IF(ISBLANK(BC338),"","&lt;br&gt;")</f>
        <v/>
      </c>
      <c r="BB338" s="42">
        <f t="array" ref="BB338">IF(ISBLANK(BC338),"",_xlfn.LET(
_xlpm.words,_xlfn.TEXTSPLIT(TRIM(BC338),"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38" s="50" t="n"/>
    </row>
    <row r="339">
      <c r="A339" s="20">
        <f>_xlfn.TEXTJOIN("", TRUE, F339:H339)</f>
        <v/>
      </c>
      <c r="B339" s="21">
        <f>_xlfn.TEXTJOIN("", TRUE, I339:S339)</f>
        <v/>
      </c>
      <c r="C339" s="21">
        <f>IF(ISBLANK(X339),"", _xlfn.TEXTJOIN("",TRUE,T339:Z339))</f>
        <v/>
      </c>
      <c r="D339" s="21">
        <f>IF(ISBLANK(AB339), "", _xlfn.TEXTJOIN("", TRUE, AA339:AC339))</f>
        <v/>
      </c>
      <c r="E339" s="22">
        <f>IF(AU339="NA", _xlfn.TEXTJOIN("", TRUE, AD339:AH339), _xlfn.TEXTJOIN("", TRUE, AD339:AJ339))</f>
        <v/>
      </c>
      <c r="F339" s="42">
        <f>IF(LEFT(G339,4)="FY26","&lt;b&gt;","&lt;i&gt;")</f>
        <v/>
      </c>
      <c r="G339" s="42" t="inlineStr">
        <is>
          <t>FY27 Enhancement</t>
        </is>
      </c>
      <c r="H339" s="42">
        <f>IF(LEFT(G339,4)="FY26","&lt;/b&gt;","&lt;/i&gt;")</f>
        <v/>
      </c>
      <c r="I339" s="43" t="inlineStr">
        <is>
          <t>&lt;i&gt;</t>
        </is>
      </c>
      <c r="J339" s="44" t="inlineStr">
        <is>
          <t>Health &amp; Human Services</t>
        </is>
      </c>
      <c r="K339" s="44" t="inlineStr">
        <is>
          <t>&lt;/i&gt;</t>
        </is>
      </c>
      <c r="L339" s="4">
        <f>IF(ISBLANK(N339),"","&lt;br&gt;")</f>
        <v/>
      </c>
      <c r="M339" s="42">
        <f>IF(ISBLANK(R339),"&lt;b&gt;","&lt;i&gt;")</f>
        <v/>
      </c>
      <c r="N339" s="42" t="inlineStr">
        <is>
          <t>Dept. of Health &amp; Welfare</t>
        </is>
      </c>
      <c r="O339" s="42">
        <f>IF(ISBLANK(R339),"&lt;/b&gt;","&lt;/i&gt;")</f>
        <v/>
      </c>
      <c r="P339" s="4">
        <f>IF(ISBLANK(R339),"","&lt;br&gt;")</f>
        <v/>
      </c>
      <c r="Q339" s="42">
        <f>IF(ISBLANK(R339),"","&lt;b&gt;")</f>
        <v/>
      </c>
      <c r="R339" s="42" t="inlineStr">
        <is>
          <t>Service Integration</t>
        </is>
      </c>
      <c r="S339" s="42">
        <f>IF(ISBLANK(R339),"","&lt;/i&gt;")</f>
        <v/>
      </c>
      <c r="T339" s="42">
        <f>IF(ISBLANK(X339),"",IF(OR(AB339="PASSED",ISBLANK(N339)),"&lt;b&gt;","&lt;i&gt;"))</f>
        <v/>
      </c>
      <c r="U339" s="3">
        <f>IF(ISBLANK(V339),"","&lt;a href='")</f>
        <v/>
      </c>
      <c r="V339" s="42" t="n"/>
      <c r="W339" s="17">
        <f>IF(ISBLANK(V339),"","'&gt;")</f>
        <v/>
      </c>
      <c r="X339" s="42" t="n"/>
      <c r="Y339" s="17">
        <f>IF(ISBLANK(X339),"","&lt;/a&gt;")</f>
        <v/>
      </c>
      <c r="Z339" s="42">
        <f>IF(ISBLANK(X339),"",IF(OR(AB339="PASSED",ISBLANK(N339)),"&lt;/b&gt;","&lt;/i&gt;"))</f>
        <v/>
      </c>
      <c r="AA339" s="43">
        <f>IF(AB339="PASSED","&lt;b&gt;","")</f>
        <v/>
      </c>
      <c r="AB339" s="45" t="inlineStr">
        <is>
          <t>—</t>
        </is>
      </c>
      <c r="AC339" s="43">
        <f>IF(AB339="PASSED","&lt;/b&gt;","")</f>
        <v/>
      </c>
      <c r="AD339" s="43">
        <f>IF(ISBLANK(AE339),"","&lt;b&gt;")</f>
        <v/>
      </c>
      <c r="AE339" s="42" t="n"/>
      <c r="AF339" s="42">
        <f>IF(ISBLANK(AE339),"",": ")</f>
        <v/>
      </c>
      <c r="AG339" s="42" t="inlineStr">
        <is>
          <t>Not Scheduled for Hearing</t>
        </is>
      </c>
      <c r="AH339" s="42">
        <f>IF(ISBLANK(AE339),"","&lt;/b&gt;")</f>
        <v/>
      </c>
      <c r="AI339" s="42" t="n"/>
      <c r="AJ339" s="42">
        <f>IF(ISBLANK(AI339),"","&lt;br&gt;"&amp;AI339)</f>
        <v/>
      </c>
      <c r="AK339" s="42" t="n"/>
      <c r="AL339" s="42" t="n"/>
      <c r="AM339" s="42" t="n"/>
      <c r="AN339" s="42">
        <f>IF(ISBLANK(AM339),"","&lt;/i&gt;")</f>
        <v/>
      </c>
      <c r="AO339" s="35">
        <f>IF(ISBLANK(AQ339),"","&lt;/b&gt;&lt;br&gt;&lt;br&gt;")</f>
        <v/>
      </c>
      <c r="AP339" s="42">
        <f>IF(ISBLANK(AQ339),"","&lt;b&gt;")</f>
        <v/>
      </c>
      <c r="AQ339" s="42" t="n"/>
      <c r="AR339" s="4" t="n"/>
      <c r="AS339" s="4">
        <f>IF(ISBLANK(AR339),""," %")</f>
        <v/>
      </c>
      <c r="AT339" s="4">
        <f t="array" ref="AT339">_xlfn.IFS(NOT(ISBLANK(AU339))," (pgs. ",NOT(ISBLANK(AS339))," (pg. ", ISBLANK(AS339), "")</f>
        <v/>
      </c>
      <c r="AU339" s="42" t="n"/>
      <c r="AV339" s="4">
        <f>IF(ISBLANK(AW339),"",", ")</f>
        <v/>
      </c>
      <c r="AW339" s="42" t="n"/>
      <c r="AX339" s="4">
        <f>IF(ISBLANK(AY339),"",",&lt;br&gt;")</f>
        <v/>
      </c>
      <c r="AY339" s="42" t="n"/>
      <c r="AZ339" s="49">
        <f>IF(ISBLANK(AU339),"",")&lt;/b&gt;")</f>
        <v/>
      </c>
      <c r="BA339" s="4">
        <f>IF(ISBLANK(BC339),"","&lt;br&gt;")</f>
        <v/>
      </c>
      <c r="BB339" s="42">
        <f t="array" ref="BB339">IF(ISBLANK(BC339),"",_xlfn.LET(
_xlpm.words,_xlfn.TEXTSPLIT(TRIM(BC339),"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39" s="50" t="n"/>
    </row>
    <row r="340">
      <c r="A340" s="20">
        <f>_xlfn.TEXTJOIN("", TRUE, F340:H340)</f>
        <v/>
      </c>
      <c r="B340" s="21">
        <f>_xlfn.TEXTJOIN("", TRUE, I340:S340)</f>
        <v/>
      </c>
      <c r="C340" s="21">
        <f>IF(ISBLANK(X340),"", _xlfn.TEXTJOIN("",TRUE,T340:Z340))</f>
        <v/>
      </c>
      <c r="D340" s="21">
        <f>IF(ISBLANK(AB340), "", _xlfn.TEXTJOIN("", TRUE, AA340:AC340))</f>
        <v/>
      </c>
      <c r="E340" s="22">
        <f>IF(AU340="NA", _xlfn.TEXTJOIN("", TRUE, AD340:AH340), _xlfn.TEXTJOIN("", TRUE, AD340:AJ340))</f>
        <v/>
      </c>
      <c r="F340" s="42">
        <f>IF(LEFT(G340,4)="FY26","&lt;b&gt;","&lt;i&gt;")</f>
        <v/>
      </c>
      <c r="G340" s="42" t="inlineStr">
        <is>
          <t>FY27 Enhancement</t>
        </is>
      </c>
      <c r="H340" s="42">
        <f>IF(LEFT(G340,4)="FY26","&lt;/b&gt;","&lt;/i&gt;")</f>
        <v/>
      </c>
      <c r="I340" s="43" t="inlineStr">
        <is>
          <t>&lt;i&gt;</t>
        </is>
      </c>
      <c r="J340" s="44" t="inlineStr">
        <is>
          <t>Health &amp; Human Services</t>
        </is>
      </c>
      <c r="K340" s="44" t="inlineStr">
        <is>
          <t>&lt;/i&gt;</t>
        </is>
      </c>
      <c r="L340" s="4">
        <f>IF(ISBLANK(N340),"","&lt;br&gt;")</f>
        <v/>
      </c>
      <c r="M340" s="42">
        <f>IF(ISBLANK(R340),"&lt;b&gt;","&lt;i&gt;")</f>
        <v/>
      </c>
      <c r="N340" s="42" t="inlineStr">
        <is>
          <t>Dept. of Health &amp; Welfare</t>
        </is>
      </c>
      <c r="O340" s="42">
        <f>IF(ISBLANK(R340),"&lt;/b&gt;","&lt;/i&gt;")</f>
        <v/>
      </c>
      <c r="P340" s="4">
        <f>IF(ISBLANK(R340),"","&lt;br&gt;")</f>
        <v/>
      </c>
      <c r="Q340" s="42">
        <f>IF(ISBLANK(R340),"","&lt;b&gt;")</f>
        <v/>
      </c>
      <c r="R340" s="42" t="inlineStr">
        <is>
          <t>Services for the Developmentally Disabled</t>
        </is>
      </c>
      <c r="S340" s="42">
        <f>IF(ISBLANK(R340),"","&lt;/i&gt;")</f>
        <v/>
      </c>
      <c r="T340" s="42">
        <f>IF(ISBLANK(X340),"",IF(OR(AB340="PASSED",ISBLANK(N340)),"&lt;b&gt;","&lt;i&gt;"))</f>
        <v/>
      </c>
      <c r="U340" s="3">
        <f>IF(ISBLANK(V340),"","&lt;a href='")</f>
        <v/>
      </c>
      <c r="V340" s="42" t="n"/>
      <c r="W340" s="17">
        <f>IF(ISBLANK(V340),"","'&gt;")</f>
        <v/>
      </c>
      <c r="X340" s="42" t="n"/>
      <c r="Y340" s="17">
        <f>IF(ISBLANK(X340),"","&lt;/a&gt;")</f>
        <v/>
      </c>
      <c r="Z340" s="42">
        <f>IF(ISBLANK(X340),"",IF(OR(AB340="PASSED",ISBLANK(N340)),"&lt;/b&gt;","&lt;/i&gt;"))</f>
        <v/>
      </c>
      <c r="AA340" s="43">
        <f>IF(AB340="PASSED","&lt;b&gt;","")</f>
        <v/>
      </c>
      <c r="AB340" s="45" t="inlineStr">
        <is>
          <t>—</t>
        </is>
      </c>
      <c r="AC340" s="43">
        <f>IF(AB340="PASSED","&lt;/b&gt;","")</f>
        <v/>
      </c>
      <c r="AD340" s="43">
        <f>IF(ISBLANK(AE340),"","&lt;b&gt;")</f>
        <v/>
      </c>
      <c r="AE340" s="42" t="n"/>
      <c r="AF340" s="42">
        <f>IF(ISBLANK(AE340),"",": ")</f>
        <v/>
      </c>
      <c r="AG340" s="42" t="inlineStr">
        <is>
          <t>Not Scheduled for Hearing</t>
        </is>
      </c>
      <c r="AH340" s="42">
        <f>IF(ISBLANK(AE340),"","&lt;/b&gt;")</f>
        <v/>
      </c>
      <c r="AI340" s="42" t="n"/>
      <c r="AJ340" s="42">
        <f>IF(ISBLANK(AI340),"","&lt;br&gt;"&amp;AI340)</f>
        <v/>
      </c>
      <c r="AK340" s="42" t="n"/>
      <c r="AL340" s="42" t="n"/>
      <c r="AM340" s="42" t="n"/>
      <c r="AN340" s="42">
        <f>IF(ISBLANK(AM340),"","&lt;/i&gt;")</f>
        <v/>
      </c>
      <c r="AO340" s="35">
        <f>IF(ISBLANK(AQ340),"","&lt;/b&gt;&lt;br&gt;&lt;br&gt;")</f>
        <v/>
      </c>
      <c r="AP340" s="42">
        <f>IF(ISBLANK(AQ340),"","&lt;b&gt;")</f>
        <v/>
      </c>
      <c r="AQ340" s="42" t="n"/>
      <c r="AR340" s="4" t="n"/>
      <c r="AS340" s="4">
        <f>IF(ISBLANK(AR340),""," %")</f>
        <v/>
      </c>
      <c r="AT340" s="4">
        <f t="array" ref="AT340">_xlfn.IFS(NOT(ISBLANK(AU340))," (pgs. ",NOT(ISBLANK(AS340))," (pg. ", ISBLANK(AS340), "")</f>
        <v/>
      </c>
      <c r="AU340" s="42" t="n"/>
      <c r="AV340" s="4">
        <f>IF(ISBLANK(AW340),"",", ")</f>
        <v/>
      </c>
      <c r="AW340" s="42" t="n"/>
      <c r="AX340" s="4">
        <f>IF(ISBLANK(AY340),"",",&lt;br&gt;")</f>
        <v/>
      </c>
      <c r="AY340" s="42" t="n"/>
      <c r="AZ340" s="49">
        <f>IF(ISBLANK(AU340),"",")&lt;/b&gt;")</f>
        <v/>
      </c>
      <c r="BA340" s="4">
        <f>IF(ISBLANK(BC340),"","&lt;br&gt;")</f>
        <v/>
      </c>
      <c r="BB340" s="42">
        <f t="array" ref="BB340">IF(ISBLANK(BC340),"",_xlfn.LET(
_xlpm.words,_xlfn.TEXTSPLIT(TRIM(BC340),"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40" s="50" t="n"/>
    </row>
    <row r="341">
      <c r="A341" s="20">
        <f>_xlfn.TEXTJOIN("", TRUE, F341:H341)</f>
        <v/>
      </c>
      <c r="B341" s="21">
        <f>_xlfn.TEXTJOIN("", TRUE, I341:S341)</f>
        <v/>
      </c>
      <c r="C341" s="21">
        <f>IF(ISBLANK(X341),"", _xlfn.TEXTJOIN("",TRUE,T341:Z341))</f>
        <v/>
      </c>
      <c r="D341" s="21">
        <f>IF(ISBLANK(AB341), "", _xlfn.TEXTJOIN("", TRUE, AA341:AC341))</f>
        <v/>
      </c>
      <c r="E341" s="22">
        <f>IF(AU341="NA", _xlfn.TEXTJOIN("", TRUE, AD341:AH341), _xlfn.TEXTJOIN("", TRUE, AD341:AJ341))</f>
        <v/>
      </c>
      <c r="F341" s="42">
        <f>IF(LEFT(G341,4)="FY26","&lt;b&gt;","&lt;i&gt;")</f>
        <v/>
      </c>
      <c r="G341" s="42" t="inlineStr">
        <is>
          <t>FY27 Enhancement</t>
        </is>
      </c>
      <c r="H341" s="42">
        <f>IF(LEFT(G341,4)="FY26","&lt;/b&gt;","&lt;/i&gt;")</f>
        <v/>
      </c>
      <c r="I341" s="43" t="inlineStr">
        <is>
          <t>&lt;i&gt;</t>
        </is>
      </c>
      <c r="J341" s="44" t="inlineStr">
        <is>
          <t>Health &amp; Human Services</t>
        </is>
      </c>
      <c r="K341" s="44" t="inlineStr">
        <is>
          <t>&lt;/i&gt;</t>
        </is>
      </c>
      <c r="L341" s="4">
        <f>IF(ISBLANK(N341),"","&lt;br&gt;")</f>
        <v/>
      </c>
      <c r="M341" s="42">
        <f>IF(ISBLANK(R341),"&lt;b&gt;","&lt;i&gt;")</f>
        <v/>
      </c>
      <c r="N341" s="42" t="inlineStr">
        <is>
          <t>State Independent Living Council</t>
        </is>
      </c>
      <c r="O341" s="42">
        <f>IF(ISBLANK(R341),"&lt;/b&gt;","&lt;/i&gt;")</f>
        <v/>
      </c>
      <c r="P341" s="4">
        <f>IF(ISBLANK(R341),"","&lt;br&gt;")</f>
        <v/>
      </c>
      <c r="Q341" s="42">
        <f>IF(ISBLANK(R341),"","&lt;b&gt;")</f>
        <v/>
      </c>
      <c r="R341" s="42" t="n"/>
      <c r="S341" s="42">
        <f>IF(ISBLANK(R341),"","&lt;/i&gt;")</f>
        <v/>
      </c>
      <c r="T341" s="42">
        <f>IF(ISBLANK(X341),"",IF(OR(AB341="PASSED",ISBLANK(N341)),"&lt;b&gt;","&lt;i&gt;"))</f>
        <v/>
      </c>
      <c r="U341" s="3">
        <f>IF(ISBLANK(V341),"","&lt;a href='")</f>
        <v/>
      </c>
      <c r="V341" s="42" t="n"/>
      <c r="W341" s="17">
        <f>IF(ISBLANK(V341),"","'&gt;")</f>
        <v/>
      </c>
      <c r="X341" s="42" t="n"/>
      <c r="Y341" s="17">
        <f>IF(ISBLANK(X341),"","&lt;/a&gt;")</f>
        <v/>
      </c>
      <c r="Z341" s="42">
        <f>IF(ISBLANK(X341),"",IF(OR(AB341="PASSED",ISBLANK(N341)),"&lt;/b&gt;","&lt;/i&gt;"))</f>
        <v/>
      </c>
      <c r="AA341" s="43">
        <f>IF(AB341="PASSED","&lt;b&gt;","")</f>
        <v/>
      </c>
      <c r="AB341" s="45" t="inlineStr">
        <is>
          <t>—</t>
        </is>
      </c>
      <c r="AC341" s="43">
        <f>IF(AB341="PASSED","&lt;/b&gt;","")</f>
        <v/>
      </c>
      <c r="AD341" s="43">
        <f>IF(ISBLANK(AE341),"","&lt;b&gt;")</f>
        <v/>
      </c>
      <c r="AE341" s="42" t="n"/>
      <c r="AF341" s="42">
        <f>IF(ISBLANK(AE341),"",": ")</f>
        <v/>
      </c>
      <c r="AG341" s="42" t="inlineStr">
        <is>
          <t>Not Scheduled for Hearing</t>
        </is>
      </c>
      <c r="AH341" s="42">
        <f>IF(ISBLANK(AE341),"","&lt;/b&gt;")</f>
        <v/>
      </c>
      <c r="AI341" s="42" t="n"/>
      <c r="AJ341" s="42">
        <f>IF(ISBLANK(AI341),"","&lt;br&gt;"&amp;AI341)</f>
        <v/>
      </c>
      <c r="AK341" s="42" t="n"/>
      <c r="AL341" s="42" t="n"/>
      <c r="AM341" s="42" t="n"/>
      <c r="AN341" s="42">
        <f>IF(ISBLANK(AM341),"","&lt;/i&gt;")</f>
        <v/>
      </c>
      <c r="AO341" s="35">
        <f>IF(ISBLANK(AQ341),"","&lt;/b&gt;&lt;br&gt;&lt;br&gt;")</f>
        <v/>
      </c>
      <c r="AP341" s="42">
        <f>IF(ISBLANK(AQ341),"","&lt;b&gt;")</f>
        <v/>
      </c>
      <c r="AQ341" s="42" t="n"/>
      <c r="AR341" s="4" t="n"/>
      <c r="AS341" s="4">
        <f>IF(ISBLANK(AR341),""," %")</f>
        <v/>
      </c>
      <c r="AT341" s="4">
        <f t="array" ref="AT341">_xlfn.IFS(NOT(ISBLANK(AU341))," (pgs. ",NOT(ISBLANK(AS341))," (pg. ", ISBLANK(AS341), "")</f>
        <v/>
      </c>
      <c r="AU341" s="42" t="n"/>
      <c r="AV341" s="4">
        <f>IF(ISBLANK(AW341),"",", ")</f>
        <v/>
      </c>
      <c r="AW341" s="42" t="n"/>
      <c r="AX341" s="4">
        <f>IF(ISBLANK(AY341),"",",&lt;br&gt;")</f>
        <v/>
      </c>
      <c r="AY341" s="42" t="n"/>
      <c r="AZ341" s="49">
        <f>IF(ISBLANK(AU341),"",")&lt;/b&gt;")</f>
        <v/>
      </c>
      <c r="BA341" s="4">
        <f>IF(ISBLANK(BC341),"","&lt;br&gt;")</f>
        <v/>
      </c>
      <c r="BB341" s="42">
        <f t="array" ref="BB341">IF(ISBLANK(BC341),"",_xlfn.LET(
_xlpm.words,_xlfn.TEXTSPLIT(TRIM(BC341),"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41" s="50" t="n"/>
    </row>
    <row r="342">
      <c r="A342" s="20">
        <f>_xlfn.TEXTJOIN("", TRUE, F342:H342)</f>
        <v/>
      </c>
      <c r="B342" s="21">
        <f>_xlfn.TEXTJOIN("", TRUE, I342:S342)</f>
        <v/>
      </c>
      <c r="C342" s="21">
        <f>IF(ISBLANK(X342),"", _xlfn.TEXTJOIN("",TRUE,T342:Z342))</f>
        <v/>
      </c>
      <c r="D342" s="21">
        <f>IF(ISBLANK(AB342), "", _xlfn.TEXTJOIN("", TRUE, AA342:AC342))</f>
        <v/>
      </c>
      <c r="E342" s="22">
        <f>IF(AU342="NA", _xlfn.TEXTJOIN("", TRUE, AD342:AH342), _xlfn.TEXTJOIN("", TRUE, AD342:AJ342))</f>
        <v/>
      </c>
      <c r="F342" s="42">
        <f>IF(LEFT(G342,4)="FY26","&lt;b&gt;","&lt;i&gt;")</f>
        <v/>
      </c>
      <c r="G342" s="42" t="inlineStr">
        <is>
          <t>FY27 Enhancement</t>
        </is>
      </c>
      <c r="H342" s="42">
        <f>IF(LEFT(G342,4)="FY26","&lt;/b&gt;","&lt;/i&gt;")</f>
        <v/>
      </c>
      <c r="I342" s="43" t="inlineStr">
        <is>
          <t>&lt;i&gt;</t>
        </is>
      </c>
      <c r="J342" s="44" t="inlineStr">
        <is>
          <t>Judicial Branch</t>
        </is>
      </c>
      <c r="K342" s="44" t="inlineStr">
        <is>
          <t>&lt;/i&gt;</t>
        </is>
      </c>
      <c r="L342" s="4">
        <f>IF(ISBLANK(N342),"","&lt;br&gt;")</f>
        <v/>
      </c>
      <c r="M342" s="42">
        <f>IF(ISBLANK(R342),"&lt;b&gt;","&lt;i&gt;")</f>
        <v/>
      </c>
      <c r="N342" s="42" t="inlineStr">
        <is>
          <t>Judicial Council</t>
        </is>
      </c>
      <c r="O342" s="42">
        <f>IF(ISBLANK(R342),"&lt;/b&gt;","&lt;/i&gt;")</f>
        <v/>
      </c>
      <c r="P342" s="4">
        <f>IF(ISBLANK(R342),"","&lt;br&gt;")</f>
        <v/>
      </c>
      <c r="Q342" s="42">
        <f>IF(ISBLANK(R342),"","&lt;b&gt;")</f>
        <v/>
      </c>
      <c r="R342" s="42" t="n"/>
      <c r="S342" s="42">
        <f>IF(ISBLANK(R342),"","&lt;/i&gt;")</f>
        <v/>
      </c>
      <c r="T342" s="42">
        <f>IF(ISBLANK(X342),"",IF(OR(AB342="PASSED",ISBLANK(N342)),"&lt;b&gt;","&lt;i&gt;"))</f>
        <v/>
      </c>
      <c r="U342" s="3">
        <f>IF(ISBLANK(V342),"","&lt;a href='")</f>
        <v/>
      </c>
      <c r="V342" s="42" t="n"/>
      <c r="W342" s="17">
        <f>IF(ISBLANK(V342),"","'&gt;")</f>
        <v/>
      </c>
      <c r="X342" s="42" t="n"/>
      <c r="Y342" s="17">
        <f>IF(ISBLANK(X342),"","&lt;/a&gt;")</f>
        <v/>
      </c>
      <c r="Z342" s="42">
        <f>IF(ISBLANK(X342),"",IF(OR(AB342="PASSED",ISBLANK(N342)),"&lt;/b&gt;","&lt;/i&gt;"))</f>
        <v/>
      </c>
      <c r="AA342" s="43">
        <f>IF(AB342="PASSED","&lt;b&gt;","")</f>
        <v/>
      </c>
      <c r="AB342" s="45" t="inlineStr">
        <is>
          <t>—</t>
        </is>
      </c>
      <c r="AC342" s="43">
        <f>IF(AB342="PASSED","&lt;/b&gt;","")</f>
        <v/>
      </c>
      <c r="AD342" s="43">
        <f>IF(ISBLANK(AE342),"","&lt;b&gt;")</f>
        <v/>
      </c>
      <c r="AE342" s="42" t="n"/>
      <c r="AF342" s="42">
        <f>IF(ISBLANK(AE342),"",": ")</f>
        <v/>
      </c>
      <c r="AG342" s="42" t="inlineStr">
        <is>
          <t>Not Scheduled for Hearing</t>
        </is>
      </c>
      <c r="AH342" s="42">
        <f>IF(ISBLANK(AE342),"","&lt;/b&gt;")</f>
        <v/>
      </c>
      <c r="AI342" s="42" t="n"/>
      <c r="AJ342" s="42">
        <f>IF(ISBLANK(AI342),"","&lt;br&gt;"&amp;AI342)</f>
        <v/>
      </c>
      <c r="AK342" s="42" t="n"/>
      <c r="AL342" s="42" t="n"/>
      <c r="AM342" s="42" t="n"/>
      <c r="AN342" s="42">
        <f>IF(ISBLANK(AM342),"","&lt;/i&gt;")</f>
        <v/>
      </c>
      <c r="AO342" s="35">
        <f>IF(ISBLANK(AQ342),"","&lt;/b&gt;&lt;br&gt;&lt;br&gt;")</f>
        <v/>
      </c>
      <c r="AP342" s="42">
        <f>IF(ISBLANK(AQ342),"","&lt;b&gt;")</f>
        <v/>
      </c>
      <c r="AQ342" s="42" t="n"/>
      <c r="AR342" s="4" t="n"/>
      <c r="AS342" s="4">
        <f>IF(ISBLANK(AR342),""," %")</f>
        <v/>
      </c>
      <c r="AT342" s="4">
        <f t="array" ref="AT342">_xlfn.IFS(NOT(ISBLANK(AU342))," (pgs. ",NOT(ISBLANK(AS342))," (pg. ", ISBLANK(AS342), "")</f>
        <v/>
      </c>
      <c r="AU342" s="42" t="n"/>
      <c r="AV342" s="4">
        <f>IF(ISBLANK(AW342),"",", ")</f>
        <v/>
      </c>
      <c r="AW342" s="42" t="n"/>
      <c r="AX342" s="4">
        <f>IF(ISBLANK(AY342),"",",&lt;br&gt;")</f>
        <v/>
      </c>
      <c r="AY342" s="42" t="n"/>
      <c r="AZ342" s="49">
        <f>IF(ISBLANK(AU342),"",")&lt;/b&gt;")</f>
        <v/>
      </c>
      <c r="BA342" s="4">
        <f>IF(ISBLANK(BC342),"","&lt;br&gt;")</f>
        <v/>
      </c>
      <c r="BB342" s="42">
        <f t="array" ref="BB342">IF(ISBLANK(BC342),"",_xlfn.LET(
_xlpm.words,_xlfn.TEXTSPLIT(TRIM(BC342),"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42" s="50" t="n"/>
    </row>
    <row r="343">
      <c r="A343" s="20">
        <f>_xlfn.TEXTJOIN("", TRUE, F343:H343)</f>
        <v/>
      </c>
      <c r="B343" s="21">
        <f>_xlfn.TEXTJOIN("", TRUE, I343:S343)</f>
        <v/>
      </c>
      <c r="C343" s="21">
        <f>IF(ISBLANK(X343),"", _xlfn.TEXTJOIN("",TRUE,T343:Z343))</f>
        <v/>
      </c>
      <c r="D343" s="21">
        <f>IF(ISBLANK(AB343), "", _xlfn.TEXTJOIN("", TRUE, AA343:AC343))</f>
        <v/>
      </c>
      <c r="E343" s="22">
        <f>IF(AU343="NA", _xlfn.TEXTJOIN("", TRUE, AD343:AH343), _xlfn.TEXTJOIN("", TRUE, AD343:AJ343))</f>
        <v/>
      </c>
      <c r="F343" s="42">
        <f>IF(LEFT(G343,4)="FY26","&lt;b&gt;","&lt;i&gt;")</f>
        <v/>
      </c>
      <c r="G343" s="42" t="inlineStr">
        <is>
          <t>FY27 Enhancement</t>
        </is>
      </c>
      <c r="H343" s="42">
        <f>IF(LEFT(G343,4)="FY26","&lt;/b&gt;","&lt;/i&gt;")</f>
        <v/>
      </c>
      <c r="I343" s="43" t="inlineStr">
        <is>
          <t>&lt;i&gt;</t>
        </is>
      </c>
      <c r="J343" s="44" t="inlineStr">
        <is>
          <t>Legislative Branch</t>
        </is>
      </c>
      <c r="K343" s="44" t="inlineStr">
        <is>
          <t>&lt;/i&gt;</t>
        </is>
      </c>
      <c r="L343" s="4">
        <f>IF(ISBLANK(N343),"","&lt;br&gt;")</f>
        <v/>
      </c>
      <c r="M343" s="42">
        <f>IF(ISBLANK(R343),"&lt;b&gt;","&lt;i&gt;")</f>
        <v/>
      </c>
      <c r="N343" s="42" t="inlineStr">
        <is>
          <t>Legislative Services Office</t>
        </is>
      </c>
      <c r="O343" s="42">
        <f>IF(ISBLANK(R343),"&lt;/b&gt;","&lt;/i&gt;")</f>
        <v/>
      </c>
      <c r="P343" s="4">
        <f>IF(ISBLANK(R343),"","&lt;br&gt;")</f>
        <v/>
      </c>
      <c r="Q343" s="42">
        <f>IF(ISBLANK(R343),"","&lt;b&gt;")</f>
        <v/>
      </c>
      <c r="R343" s="42" t="n"/>
      <c r="S343" s="42">
        <f>IF(ISBLANK(R343),"","&lt;/i&gt;")</f>
        <v/>
      </c>
      <c r="T343" s="42">
        <f>IF(ISBLANK(X343),"",IF(OR(AB343="PASSED",ISBLANK(N343)),"&lt;b&gt;","&lt;i&gt;"))</f>
        <v/>
      </c>
      <c r="U343" s="3">
        <f>IF(ISBLANK(V343),"","&lt;a href='")</f>
        <v/>
      </c>
      <c r="V343" s="42" t="n"/>
      <c r="W343" s="17">
        <f>IF(ISBLANK(V343),"","'&gt;")</f>
        <v/>
      </c>
      <c r="X343" s="42" t="n"/>
      <c r="Y343" s="17">
        <f>IF(ISBLANK(X343),"","&lt;/a&gt;")</f>
        <v/>
      </c>
      <c r="Z343" s="42">
        <f>IF(ISBLANK(X343),"",IF(OR(AB343="PASSED",ISBLANK(N343)),"&lt;/b&gt;","&lt;/i&gt;"))</f>
        <v/>
      </c>
      <c r="AA343" s="43">
        <f>IF(AB343="PASSED","&lt;b&gt;","")</f>
        <v/>
      </c>
      <c r="AB343" s="45" t="inlineStr">
        <is>
          <t>—</t>
        </is>
      </c>
      <c r="AC343" s="43">
        <f>IF(AB343="PASSED","&lt;/b&gt;","")</f>
        <v/>
      </c>
      <c r="AD343" s="43">
        <f>IF(ISBLANK(AE343),"","&lt;b&gt;")</f>
        <v/>
      </c>
      <c r="AE343" s="42" t="n"/>
      <c r="AF343" s="42">
        <f>IF(ISBLANK(AE343),"",": ")</f>
        <v/>
      </c>
      <c r="AG343" s="42" t="inlineStr">
        <is>
          <t>Not Scheduled for Hearing</t>
        </is>
      </c>
      <c r="AH343" s="42">
        <f>IF(ISBLANK(AE343),"","&lt;/b&gt;")</f>
        <v/>
      </c>
      <c r="AI343" s="42" t="n"/>
      <c r="AJ343" s="42">
        <f>IF(ISBLANK(AI343),"","&lt;br&gt;"&amp;AI343)</f>
        <v/>
      </c>
      <c r="AK343" s="42" t="n"/>
      <c r="AL343" s="42" t="n"/>
      <c r="AM343" s="42" t="n"/>
      <c r="AN343" s="42">
        <f>IF(ISBLANK(AM343),"","&lt;/i&gt;")</f>
        <v/>
      </c>
      <c r="AO343" s="35">
        <f>IF(ISBLANK(AQ343),"","&lt;/b&gt;&lt;br&gt;&lt;br&gt;")</f>
        <v/>
      </c>
      <c r="AP343" s="42">
        <f>IF(ISBLANK(AQ343),"","&lt;b&gt;")</f>
        <v/>
      </c>
      <c r="AQ343" s="42" t="n"/>
      <c r="AR343" s="4" t="n"/>
      <c r="AS343" s="4">
        <f>IF(ISBLANK(AR343),""," %")</f>
        <v/>
      </c>
      <c r="AT343" s="4">
        <f t="array" ref="AT343">_xlfn.IFS(NOT(ISBLANK(AU343))," (pgs. ",NOT(ISBLANK(AS343))," (pg. ", ISBLANK(AS343), "")</f>
        <v/>
      </c>
      <c r="AU343" s="42" t="n"/>
      <c r="AV343" s="4">
        <f>IF(ISBLANK(AW343),"",", ")</f>
        <v/>
      </c>
      <c r="AW343" s="42" t="n"/>
      <c r="AX343" s="4">
        <f>IF(ISBLANK(AY343),"",",&lt;br&gt;")</f>
        <v/>
      </c>
      <c r="AY343" s="42" t="n"/>
      <c r="AZ343" s="49">
        <f>IF(ISBLANK(AU343),"",")&lt;/b&gt;")</f>
        <v/>
      </c>
      <c r="BA343" s="4">
        <f>IF(ISBLANK(BC343),"","&lt;br&gt;")</f>
        <v/>
      </c>
      <c r="BB343" s="42">
        <f t="array" ref="BB343">IF(ISBLANK(BC343),"",_xlfn.LET(
_xlpm.words,_xlfn.TEXTSPLIT(TRIM(BC343),"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43" s="50" t="n"/>
    </row>
    <row r="344">
      <c r="A344" s="20">
        <f>_xlfn.TEXTJOIN("", TRUE, F344:H344)</f>
        <v/>
      </c>
      <c r="B344" s="21">
        <f>_xlfn.TEXTJOIN("", TRUE, I344:S344)</f>
        <v/>
      </c>
      <c r="C344" s="21">
        <f>IF(ISBLANK(X344),"", _xlfn.TEXTJOIN("",TRUE,T344:Z344))</f>
        <v/>
      </c>
      <c r="D344" s="21">
        <f>IF(ISBLANK(AB344), "", _xlfn.TEXTJOIN("", TRUE, AA344:AC344))</f>
        <v/>
      </c>
      <c r="E344" s="22">
        <f>IF(AU344="NA", _xlfn.TEXTJOIN("", TRUE, AD344:AH344), _xlfn.TEXTJOIN("", TRUE, AD344:AJ344))</f>
        <v/>
      </c>
      <c r="F344" s="42">
        <f>IF(LEFT(G344,4)="FY26","&lt;b&gt;","&lt;i&gt;")</f>
        <v/>
      </c>
      <c r="G344" s="42" t="inlineStr">
        <is>
          <t>FY27 Enhancement</t>
        </is>
      </c>
      <c r="H344" s="42">
        <f>IF(LEFT(G344,4)="FY26","&lt;/b&gt;","&lt;/i&gt;")</f>
        <v/>
      </c>
      <c r="I344" s="43" t="inlineStr">
        <is>
          <t>&lt;i&gt;</t>
        </is>
      </c>
      <c r="J344" s="44" t="inlineStr">
        <is>
          <t>Legislative Branch</t>
        </is>
      </c>
      <c r="K344" s="44" t="inlineStr">
        <is>
          <t>&lt;/i&gt;</t>
        </is>
      </c>
      <c r="L344" s="4">
        <f>IF(ISBLANK(N344),"","&lt;br&gt;")</f>
        <v/>
      </c>
      <c r="M344" s="42">
        <f>IF(ISBLANK(R344),"&lt;b&gt;","&lt;i&gt;")</f>
        <v/>
      </c>
      <c r="N344" s="42" t="inlineStr">
        <is>
          <t>Legislative Technology</t>
        </is>
      </c>
      <c r="O344" s="42">
        <f>IF(ISBLANK(R344),"&lt;/b&gt;","&lt;/i&gt;")</f>
        <v/>
      </c>
      <c r="P344" s="4">
        <f>IF(ISBLANK(R344),"","&lt;br&gt;")</f>
        <v/>
      </c>
      <c r="Q344" s="42">
        <f>IF(ISBLANK(R344),"","&lt;b&gt;")</f>
        <v/>
      </c>
      <c r="R344" s="42" t="n"/>
      <c r="S344" s="42">
        <f>IF(ISBLANK(R344),"","&lt;/i&gt;")</f>
        <v/>
      </c>
      <c r="T344" s="42">
        <f>IF(ISBLANK(X344),"",IF(OR(AB344="PASSED",ISBLANK(N344)),"&lt;b&gt;","&lt;i&gt;"))</f>
        <v/>
      </c>
      <c r="U344" s="3">
        <f>IF(ISBLANK(V344),"","&lt;a href='")</f>
        <v/>
      </c>
      <c r="V344" s="42" t="n"/>
      <c r="W344" s="17">
        <f>IF(ISBLANK(V344),"","'&gt;")</f>
        <v/>
      </c>
      <c r="X344" s="42" t="n"/>
      <c r="Y344" s="17">
        <f>IF(ISBLANK(X344),"","&lt;/a&gt;")</f>
        <v/>
      </c>
      <c r="Z344" s="42">
        <f>IF(ISBLANK(X344),"",IF(OR(AB344="PASSED",ISBLANK(N344)),"&lt;/b&gt;","&lt;/i&gt;"))</f>
        <v/>
      </c>
      <c r="AA344" s="43">
        <f>IF(AB344="PASSED","&lt;b&gt;","")</f>
        <v/>
      </c>
      <c r="AB344" s="45" t="inlineStr">
        <is>
          <t>—</t>
        </is>
      </c>
      <c r="AC344" s="43">
        <f>IF(AB344="PASSED","&lt;/b&gt;","")</f>
        <v/>
      </c>
      <c r="AD344" s="43">
        <f>IF(ISBLANK(AE344),"","&lt;b&gt;")</f>
        <v/>
      </c>
      <c r="AE344" s="42" t="n"/>
      <c r="AF344" s="42">
        <f>IF(ISBLANK(AE344),"",": ")</f>
        <v/>
      </c>
      <c r="AG344" s="42" t="inlineStr">
        <is>
          <t>Not Scheduled for Hearing</t>
        </is>
      </c>
      <c r="AH344" s="42">
        <f>IF(ISBLANK(AE344),"","&lt;/b&gt;")</f>
        <v/>
      </c>
      <c r="AI344" s="42" t="n"/>
      <c r="AJ344" s="42">
        <f>IF(ISBLANK(AI344),"","&lt;br&gt;"&amp;AI344)</f>
        <v/>
      </c>
      <c r="AK344" s="42" t="n"/>
      <c r="AL344" s="42" t="n"/>
      <c r="AM344" s="42" t="n"/>
      <c r="AN344" s="42">
        <f>IF(ISBLANK(AM344),"","&lt;/i&gt;")</f>
        <v/>
      </c>
      <c r="AO344" s="35">
        <f>IF(ISBLANK(AQ344),"","&lt;/b&gt;&lt;br&gt;&lt;br&gt;")</f>
        <v/>
      </c>
      <c r="AP344" s="42">
        <f>IF(ISBLANK(AQ344),"","&lt;b&gt;")</f>
        <v/>
      </c>
      <c r="AQ344" s="42" t="n"/>
      <c r="AR344" s="4" t="n"/>
      <c r="AS344" s="4">
        <f>IF(ISBLANK(AR344),""," %")</f>
        <v/>
      </c>
      <c r="AT344" s="4">
        <f t="array" ref="AT344">_xlfn.IFS(NOT(ISBLANK(AU344))," (pgs. ",NOT(ISBLANK(AS344))," (pg. ", ISBLANK(AS344), "")</f>
        <v/>
      </c>
      <c r="AU344" s="42" t="n"/>
      <c r="AV344" s="4">
        <f>IF(ISBLANK(AW344),"",", ")</f>
        <v/>
      </c>
      <c r="AW344" s="42" t="n"/>
      <c r="AX344" s="4">
        <f>IF(ISBLANK(AY344),"",",&lt;br&gt;")</f>
        <v/>
      </c>
      <c r="AY344" s="42" t="n"/>
      <c r="AZ344" s="49">
        <f>IF(ISBLANK(AU344),"",")&lt;/b&gt;")</f>
        <v/>
      </c>
      <c r="BA344" s="4">
        <f>IF(ISBLANK(BC344),"","&lt;br&gt;")</f>
        <v/>
      </c>
      <c r="BB344" s="42">
        <f t="array" ref="BB344">IF(ISBLANK(BC344),"",_xlfn.LET(
_xlpm.words,_xlfn.TEXTSPLIT(TRIM(BC344),"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44" s="50" t="n"/>
    </row>
    <row r="345">
      <c r="A345" s="20">
        <f>_xlfn.TEXTJOIN("", TRUE, F345:H345)</f>
        <v/>
      </c>
      <c r="B345" s="21">
        <f>_xlfn.TEXTJOIN("", TRUE, I345:S345)</f>
        <v/>
      </c>
      <c r="C345" s="21">
        <f>IF(ISBLANK(X345),"", _xlfn.TEXTJOIN("",TRUE,T345:Z345))</f>
        <v/>
      </c>
      <c r="D345" s="21">
        <f>IF(ISBLANK(AB345), "", _xlfn.TEXTJOIN("", TRUE, AA345:AC345))</f>
        <v/>
      </c>
      <c r="E345" s="22">
        <f>IF(AU345="NA", _xlfn.TEXTJOIN("", TRUE, AD345:AH345), _xlfn.TEXTJOIN("", TRUE, AD345:AJ345))</f>
        <v/>
      </c>
      <c r="F345" s="42">
        <f>IF(LEFT(G345,4)="FY26","&lt;b&gt;","&lt;i&gt;")</f>
        <v/>
      </c>
      <c r="G345" s="42" t="inlineStr">
        <is>
          <t>FY27 Enhancement</t>
        </is>
      </c>
      <c r="H345" s="42">
        <f>IF(LEFT(G345,4)="FY26","&lt;/b&gt;","&lt;/i&gt;")</f>
        <v/>
      </c>
      <c r="I345" s="43" t="inlineStr">
        <is>
          <t>&lt;i&gt;</t>
        </is>
      </c>
      <c r="J345" s="44" t="inlineStr">
        <is>
          <t>Legislative Branch</t>
        </is>
      </c>
      <c r="K345" s="44" t="inlineStr">
        <is>
          <t>&lt;/i&gt;</t>
        </is>
      </c>
      <c r="L345" s="4">
        <f>IF(ISBLANK(N345),"","&lt;br&gt;")</f>
        <v/>
      </c>
      <c r="M345" s="42">
        <f>IF(ISBLANK(R345),"&lt;b&gt;","&lt;i&gt;")</f>
        <v/>
      </c>
      <c r="N345" s="42" t="inlineStr">
        <is>
          <t>Legislature</t>
        </is>
      </c>
      <c r="O345" s="42">
        <f>IF(ISBLANK(R345),"&lt;/b&gt;","&lt;/i&gt;")</f>
        <v/>
      </c>
      <c r="P345" s="4">
        <f>IF(ISBLANK(R345),"","&lt;br&gt;")</f>
        <v/>
      </c>
      <c r="Q345" s="42">
        <f>IF(ISBLANK(R345),"","&lt;b&gt;")</f>
        <v/>
      </c>
      <c r="R345" s="42" t="n"/>
      <c r="S345" s="42">
        <f>IF(ISBLANK(R345),"","&lt;/i&gt;")</f>
        <v/>
      </c>
      <c r="T345" s="42">
        <f>IF(ISBLANK(X345),"",IF(OR(AB345="PASSED",ISBLANK(N345)),"&lt;b&gt;","&lt;i&gt;"))</f>
        <v/>
      </c>
      <c r="U345" s="3">
        <f>IF(ISBLANK(V345),"","&lt;a href='")</f>
        <v/>
      </c>
      <c r="V345" s="42" t="n"/>
      <c r="W345" s="17">
        <f>IF(ISBLANK(V345),"","'&gt;")</f>
        <v/>
      </c>
      <c r="X345" s="42" t="n"/>
      <c r="Y345" s="17">
        <f>IF(ISBLANK(X345),"","&lt;/a&gt;")</f>
        <v/>
      </c>
      <c r="Z345" s="42">
        <f>IF(ISBLANK(X345),"",IF(OR(AB345="PASSED",ISBLANK(N345)),"&lt;/b&gt;","&lt;/i&gt;"))</f>
        <v/>
      </c>
      <c r="AA345" s="43">
        <f>IF(AB345="PASSED","&lt;b&gt;","")</f>
        <v/>
      </c>
      <c r="AB345" s="45" t="inlineStr">
        <is>
          <t>—</t>
        </is>
      </c>
      <c r="AC345" s="43">
        <f>IF(AB345="PASSED","&lt;/b&gt;","")</f>
        <v/>
      </c>
      <c r="AD345" s="43">
        <f>IF(ISBLANK(AE345),"","&lt;b&gt;")</f>
        <v/>
      </c>
      <c r="AE345" s="42" t="n"/>
      <c r="AF345" s="42">
        <f>IF(ISBLANK(AE345),"",": ")</f>
        <v/>
      </c>
      <c r="AG345" s="42" t="inlineStr">
        <is>
          <t>Not Scheduled for Hearing</t>
        </is>
      </c>
      <c r="AH345" s="42">
        <f>IF(ISBLANK(AE345),"","&lt;/b&gt;")</f>
        <v/>
      </c>
      <c r="AI345" s="42" t="n"/>
      <c r="AJ345" s="42">
        <f>IF(ISBLANK(AI345),"","&lt;br&gt;"&amp;AI345)</f>
        <v/>
      </c>
      <c r="AK345" s="42" t="n"/>
      <c r="AL345" s="42" t="n"/>
      <c r="AM345" s="42" t="n"/>
      <c r="AN345" s="42">
        <f>IF(ISBLANK(AM345),"","&lt;/i&gt;")</f>
        <v/>
      </c>
      <c r="AO345" s="35">
        <f>IF(ISBLANK(AQ345),"","&lt;/b&gt;&lt;br&gt;&lt;br&gt;")</f>
        <v/>
      </c>
      <c r="AP345" s="42">
        <f>IF(ISBLANK(AQ345),"","&lt;b&gt;")</f>
        <v/>
      </c>
      <c r="AQ345" s="42" t="n"/>
      <c r="AR345" s="4" t="n"/>
      <c r="AS345" s="4">
        <f>IF(ISBLANK(AR345),""," %")</f>
        <v/>
      </c>
      <c r="AT345" s="4">
        <f t="array" ref="AT345">_xlfn.IFS(NOT(ISBLANK(AU345))," (pgs. ",NOT(ISBLANK(AS345))," (pg. ", ISBLANK(AS345), "")</f>
        <v/>
      </c>
      <c r="AU345" s="42" t="n"/>
      <c r="AV345" s="4">
        <f>IF(ISBLANK(AW345),"",", ")</f>
        <v/>
      </c>
      <c r="AW345" s="42" t="n"/>
      <c r="AX345" s="4">
        <f>IF(ISBLANK(AY345),"",",&lt;br&gt;")</f>
        <v/>
      </c>
      <c r="AY345" s="42" t="n"/>
      <c r="AZ345" s="49">
        <f>IF(ISBLANK(AU345),"",")&lt;/b&gt;")</f>
        <v/>
      </c>
      <c r="BA345" s="4">
        <f>IF(ISBLANK(BC345),"","&lt;br&gt;")</f>
        <v/>
      </c>
      <c r="BB345" s="42">
        <f t="array" ref="BB345">IF(ISBLANK(BC345),"",_xlfn.LET(
_xlpm.words,_xlfn.TEXTSPLIT(TRIM(BC345),"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45" s="50" t="n"/>
    </row>
    <row r="346">
      <c r="A346" s="20">
        <f>_xlfn.TEXTJOIN("", TRUE, F346:H346)</f>
        <v/>
      </c>
      <c r="B346" s="21">
        <f>_xlfn.TEXTJOIN("", TRUE, I346:S346)</f>
        <v/>
      </c>
      <c r="C346" s="21">
        <f>IF(ISBLANK(X346),"", _xlfn.TEXTJOIN("",TRUE,T346:Z346))</f>
        <v/>
      </c>
      <c r="D346" s="21">
        <f>IF(ISBLANK(AB346), "", _xlfn.TEXTJOIN("", TRUE, AA346:AC346))</f>
        <v/>
      </c>
      <c r="E346" s="22">
        <f>IF(AU346="NA", _xlfn.TEXTJOIN("", TRUE, AD346:AH346), _xlfn.TEXTJOIN("", TRUE, AD346:AJ346))</f>
        <v/>
      </c>
      <c r="F346" s="42">
        <f>IF(LEFT(G346,4)="FY26","&lt;b&gt;","&lt;i&gt;")</f>
        <v/>
      </c>
      <c r="G346" s="42" t="inlineStr">
        <is>
          <t>FY27 Enhancement</t>
        </is>
      </c>
      <c r="H346" s="42">
        <f>IF(LEFT(G346,4)="FY26","&lt;/b&gt;","&lt;/i&gt;")</f>
        <v/>
      </c>
      <c r="I346" s="43" t="inlineStr">
        <is>
          <t>&lt;i&gt;</t>
        </is>
      </c>
      <c r="J346" s="44" t="inlineStr">
        <is>
          <t>Legislative Branch</t>
        </is>
      </c>
      <c r="K346" s="44" t="inlineStr">
        <is>
          <t>&lt;/i&gt;</t>
        </is>
      </c>
      <c r="L346" s="4">
        <f>IF(ISBLANK(N346),"","&lt;br&gt;")</f>
        <v/>
      </c>
      <c r="M346" s="42">
        <f>IF(ISBLANK(R346),"&lt;b&gt;","&lt;i&gt;")</f>
        <v/>
      </c>
      <c r="N346" s="42" t="inlineStr">
        <is>
          <t>Office of Performance Evaluations</t>
        </is>
      </c>
      <c r="O346" s="42">
        <f>IF(ISBLANK(R346),"&lt;/b&gt;","&lt;/i&gt;")</f>
        <v/>
      </c>
      <c r="P346" s="4">
        <f>IF(ISBLANK(R346),"","&lt;br&gt;")</f>
        <v/>
      </c>
      <c r="Q346" s="42">
        <f>IF(ISBLANK(R346),"","&lt;b&gt;")</f>
        <v/>
      </c>
      <c r="R346" s="42" t="n"/>
      <c r="S346" s="42">
        <f>IF(ISBLANK(R346),"","&lt;/i&gt;")</f>
        <v/>
      </c>
      <c r="T346" s="42">
        <f>IF(ISBLANK(X346),"",IF(OR(AB346="PASSED",ISBLANK(N346)),"&lt;b&gt;","&lt;i&gt;"))</f>
        <v/>
      </c>
      <c r="U346" s="3">
        <f>IF(ISBLANK(V346),"","&lt;a href='")</f>
        <v/>
      </c>
      <c r="V346" s="42" t="n"/>
      <c r="W346" s="17">
        <f>IF(ISBLANK(V346),"","'&gt;")</f>
        <v/>
      </c>
      <c r="X346" s="42" t="n"/>
      <c r="Y346" s="17">
        <f>IF(ISBLANK(X346),"","&lt;/a&gt;")</f>
        <v/>
      </c>
      <c r="Z346" s="42">
        <f>IF(ISBLANK(X346),"",IF(OR(AB346="PASSED",ISBLANK(N346)),"&lt;/b&gt;","&lt;/i&gt;"))</f>
        <v/>
      </c>
      <c r="AA346" s="43">
        <f>IF(AB346="PASSED","&lt;b&gt;","")</f>
        <v/>
      </c>
      <c r="AB346" s="45" t="inlineStr">
        <is>
          <t>—</t>
        </is>
      </c>
      <c r="AC346" s="43">
        <f>IF(AB346="PASSED","&lt;/b&gt;","")</f>
        <v/>
      </c>
      <c r="AD346" s="43">
        <f>IF(ISBLANK(AE346),"","&lt;b&gt;")</f>
        <v/>
      </c>
      <c r="AE346" s="42" t="n"/>
      <c r="AF346" s="42">
        <f>IF(ISBLANK(AE346),"",": ")</f>
        <v/>
      </c>
      <c r="AG346" s="42" t="inlineStr">
        <is>
          <t>Not Scheduled for Hearing</t>
        </is>
      </c>
      <c r="AH346" s="42">
        <f>IF(ISBLANK(AE346),"","&lt;/b&gt;")</f>
        <v/>
      </c>
      <c r="AI346" s="42" t="n"/>
      <c r="AJ346" s="42">
        <f>IF(ISBLANK(AI346),"","&lt;br&gt;"&amp;AI346)</f>
        <v/>
      </c>
      <c r="AK346" s="42" t="n"/>
      <c r="AL346" s="42" t="n"/>
      <c r="AM346" s="42" t="n"/>
      <c r="AN346" s="42">
        <f>IF(ISBLANK(AM346),"","&lt;/i&gt;")</f>
        <v/>
      </c>
      <c r="AO346" s="35">
        <f>IF(ISBLANK(AQ346),"","&lt;/b&gt;&lt;br&gt;&lt;br&gt;")</f>
        <v/>
      </c>
      <c r="AP346" s="42">
        <f>IF(ISBLANK(AQ346),"","&lt;b&gt;")</f>
        <v/>
      </c>
      <c r="AQ346" s="42" t="n"/>
      <c r="AR346" s="4" t="n"/>
      <c r="AS346" s="4">
        <f>IF(ISBLANK(AR346),""," %")</f>
        <v/>
      </c>
      <c r="AT346" s="4">
        <f t="array" ref="AT346">_xlfn.IFS(NOT(ISBLANK(AU346))," (pgs. ",NOT(ISBLANK(AS346))," (pg. ", ISBLANK(AS346), "")</f>
        <v/>
      </c>
      <c r="AU346" s="42" t="n"/>
      <c r="AV346" s="4">
        <f>IF(ISBLANK(AW346),"",", ")</f>
        <v/>
      </c>
      <c r="AW346" s="42" t="n"/>
      <c r="AX346" s="4">
        <f>IF(ISBLANK(AY346),"",",&lt;br&gt;")</f>
        <v/>
      </c>
      <c r="AY346" s="42" t="n"/>
      <c r="AZ346" s="49">
        <f>IF(ISBLANK(AU346),"",")&lt;/b&gt;")</f>
        <v/>
      </c>
      <c r="BA346" s="4">
        <f>IF(ISBLANK(BC346),"","&lt;br&gt;")</f>
        <v/>
      </c>
      <c r="BB346" s="42">
        <f t="array" ref="BB346">IF(ISBLANK(BC346),"",_xlfn.LET(
_xlpm.words,_xlfn.TEXTSPLIT(TRIM(BC346),"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46" s="50" t="n"/>
    </row>
    <row r="347">
      <c r="A347" s="20">
        <f>_xlfn.TEXTJOIN("", TRUE, F347:H347)</f>
        <v/>
      </c>
      <c r="B347" s="21">
        <f>_xlfn.TEXTJOIN("", TRUE, I347:S347)</f>
        <v/>
      </c>
      <c r="C347" s="21">
        <f>IF(ISBLANK(X347),"", _xlfn.TEXTJOIN("",TRUE,T347:Z347))</f>
        <v/>
      </c>
      <c r="D347" s="21">
        <f>IF(ISBLANK(AB347), "", _xlfn.TEXTJOIN("", TRUE, AA347:AC347))</f>
        <v/>
      </c>
      <c r="E347" s="22">
        <f>IF(AU347="NA", _xlfn.TEXTJOIN("", TRUE, AD347:AH347), _xlfn.TEXTJOIN("", TRUE, AD347:AJ347))</f>
        <v/>
      </c>
      <c r="F347" s="42">
        <f>IF(LEFT(G347,4)="FY26","&lt;b&gt;","&lt;i&gt;")</f>
        <v/>
      </c>
      <c r="G347" s="42" t="inlineStr">
        <is>
          <t>FY27 Enhancement</t>
        </is>
      </c>
      <c r="H347" s="42">
        <f>IF(LEFT(G347,4)="FY26","&lt;/b&gt;","&lt;/i&gt;")</f>
        <v/>
      </c>
      <c r="I347" s="43" t="inlineStr">
        <is>
          <t>&lt;i&gt;</t>
        </is>
      </c>
      <c r="J347" s="44" t="inlineStr">
        <is>
          <t>Public Safety</t>
        </is>
      </c>
      <c r="K347" s="44" t="inlineStr">
        <is>
          <t>&lt;/i&gt;</t>
        </is>
      </c>
      <c r="L347" s="4">
        <f>IF(ISBLANK(N347),"","&lt;br&gt;")</f>
        <v/>
      </c>
      <c r="M347" s="42">
        <f>IF(ISBLANK(R347),"&lt;b&gt;","&lt;i&gt;")</f>
        <v/>
      </c>
      <c r="N347" s="42" t="inlineStr">
        <is>
          <t>Idaho State Police</t>
        </is>
      </c>
      <c r="O347" s="42">
        <f>IF(ISBLANK(R347),"&lt;/b&gt;","&lt;/i&gt;")</f>
        <v/>
      </c>
      <c r="P347" s="4">
        <f>IF(ISBLANK(R347),"","&lt;br&gt;")</f>
        <v/>
      </c>
      <c r="Q347" s="42">
        <f>IF(ISBLANK(R347),"","&lt;b&gt;")</f>
        <v/>
      </c>
      <c r="R347" s="42" t="inlineStr">
        <is>
          <t>Racing Comm.</t>
        </is>
      </c>
      <c r="S347" s="42">
        <f>IF(ISBLANK(R347),"","&lt;/i&gt;")</f>
        <v/>
      </c>
      <c r="T347" s="42">
        <f>IF(ISBLANK(X347),"",IF(OR(AB347="PASSED",ISBLANK(N347)),"&lt;b&gt;","&lt;i&gt;"))</f>
        <v/>
      </c>
      <c r="U347" s="3">
        <f>IF(ISBLANK(V347),"","&lt;a href='")</f>
        <v/>
      </c>
      <c r="V347" s="42" t="n"/>
      <c r="W347" s="17">
        <f>IF(ISBLANK(V347),"","'&gt;")</f>
        <v/>
      </c>
      <c r="X347" s="42" t="n"/>
      <c r="Y347" s="17">
        <f>IF(ISBLANK(X347),"","&lt;/a&gt;")</f>
        <v/>
      </c>
      <c r="Z347" s="42">
        <f>IF(ISBLANK(X347),"",IF(OR(AB347="PASSED",ISBLANK(N347)),"&lt;/b&gt;","&lt;/i&gt;"))</f>
        <v/>
      </c>
      <c r="AA347" s="43">
        <f>IF(AB347="PASSED","&lt;b&gt;","")</f>
        <v/>
      </c>
      <c r="AB347" s="45" t="inlineStr">
        <is>
          <t>—</t>
        </is>
      </c>
      <c r="AC347" s="43">
        <f>IF(AB347="PASSED","&lt;/b&gt;","")</f>
        <v/>
      </c>
      <c r="AD347" s="43">
        <f>IF(ISBLANK(AE347),"","&lt;b&gt;")</f>
        <v/>
      </c>
      <c r="AE347" s="42" t="n"/>
      <c r="AF347" s="42">
        <f>IF(ISBLANK(AE347),"",": ")</f>
        <v/>
      </c>
      <c r="AG347" s="42" t="inlineStr">
        <is>
          <t>Not Scheduled for Hearing</t>
        </is>
      </c>
      <c r="AH347" s="42">
        <f>IF(ISBLANK(AE347),"","&lt;/b&gt;")</f>
        <v/>
      </c>
      <c r="AI347" s="42" t="n"/>
      <c r="AJ347" s="42">
        <f>IF(ISBLANK(AI347),"","&lt;br&gt;"&amp;AI347)</f>
        <v/>
      </c>
      <c r="AK347" s="42" t="n"/>
      <c r="AL347" s="42" t="n"/>
      <c r="AM347" s="42" t="n"/>
      <c r="AN347" s="42">
        <f>IF(ISBLANK(AM347),"","&lt;/i&gt;")</f>
        <v/>
      </c>
      <c r="AO347" s="35">
        <f>IF(ISBLANK(AQ347),"","&lt;/b&gt;&lt;br&gt;&lt;br&gt;")</f>
        <v/>
      </c>
      <c r="AP347" s="42">
        <f>IF(ISBLANK(AQ347),"","&lt;b&gt;")</f>
        <v/>
      </c>
      <c r="AQ347" s="42" t="n"/>
      <c r="AR347" s="4" t="n"/>
      <c r="AS347" s="4">
        <f>IF(ISBLANK(AR347),""," %")</f>
        <v/>
      </c>
      <c r="AT347" s="4">
        <f t="array" ref="AT347">_xlfn.IFS(NOT(ISBLANK(AU347))," (pgs. ",NOT(ISBLANK(AS347))," (pg. ", ISBLANK(AS347), "")</f>
        <v/>
      </c>
      <c r="AU347" s="42" t="n"/>
      <c r="AV347" s="4">
        <f>IF(ISBLANK(AW347),"",", ")</f>
        <v/>
      </c>
      <c r="AW347" s="42" t="n"/>
      <c r="AX347" s="4">
        <f>IF(ISBLANK(AY347),"",",&lt;br&gt;")</f>
        <v/>
      </c>
      <c r="AY347" s="42" t="n"/>
      <c r="AZ347" s="49">
        <f>IF(ISBLANK(AU347),"",")&lt;/b&gt;")</f>
        <v/>
      </c>
      <c r="BA347" s="4">
        <f>IF(ISBLANK(BC347),"","&lt;br&gt;")</f>
        <v/>
      </c>
      <c r="BB347" s="42">
        <f t="array" ref="BB347">IF(ISBLANK(BC347),"",_xlfn.LET(
_xlpm.words,_xlfn.TEXTSPLIT(TRIM(BC347),"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47" s="50" t="n"/>
    </row>
    <row r="348">
      <c r="A348" s="20">
        <f>_xlfn.TEXTJOIN("", TRUE, F348:H348)</f>
        <v/>
      </c>
      <c r="B348" s="21">
        <f>_xlfn.TEXTJOIN("", TRUE, I348:S348)</f>
        <v/>
      </c>
      <c r="C348" s="21">
        <f>IF(ISBLANK(X348),"", _xlfn.TEXTJOIN("",TRUE,T348:Z348))</f>
        <v/>
      </c>
      <c r="D348" s="21">
        <f>IF(ISBLANK(AB348), "", _xlfn.TEXTJOIN("", TRUE, AA348:AC348))</f>
        <v/>
      </c>
      <c r="E348" s="22">
        <f>IF(AU348="NA", _xlfn.TEXTJOIN("", TRUE, AD348:AH348), _xlfn.TEXTJOIN("", TRUE, AD348:AJ348))</f>
        <v/>
      </c>
      <c r="F348" s="42">
        <f>IF(LEFT(G348,4)="FY26","&lt;b&gt;","&lt;i&gt;")</f>
        <v/>
      </c>
      <c r="G348" s="42" t="inlineStr">
        <is>
          <t>FY27 Enhancement</t>
        </is>
      </c>
      <c r="H348" s="42">
        <f>IF(LEFT(G348,4)="FY26","&lt;/b&gt;","&lt;/i&gt;")</f>
        <v/>
      </c>
      <c r="I348" s="43" t="inlineStr">
        <is>
          <t>&lt;i&gt;</t>
        </is>
      </c>
      <c r="J348" s="44" t="inlineStr">
        <is>
          <t>State Board of Education</t>
        </is>
      </c>
      <c r="K348" s="44" t="inlineStr">
        <is>
          <t>&lt;/i&gt;</t>
        </is>
      </c>
      <c r="L348" s="4">
        <f>IF(ISBLANK(N348),"","&lt;br&gt;")</f>
        <v/>
      </c>
      <c r="M348" s="42">
        <f>IF(ISBLANK(R348),"&lt;b&gt;","&lt;i&gt;")</f>
        <v/>
      </c>
      <c r="N348" s="42" t="inlineStr">
        <is>
          <t>Agricultural Research &amp; Extension Service</t>
        </is>
      </c>
      <c r="O348" s="42">
        <f>IF(ISBLANK(R348),"&lt;/b&gt;","&lt;/i&gt;")</f>
        <v/>
      </c>
      <c r="P348" s="4">
        <f>IF(ISBLANK(R348),"","&lt;br&gt;")</f>
        <v/>
      </c>
      <c r="Q348" s="42">
        <f>IF(ISBLANK(R348),"","&lt;b&gt;")</f>
        <v/>
      </c>
      <c r="R348" s="42" t="n"/>
      <c r="S348" s="42">
        <f>IF(ISBLANK(R348),"","&lt;/i&gt;")</f>
        <v/>
      </c>
      <c r="T348" s="42">
        <f>IF(ISBLANK(X348),"",IF(OR(AB348="PASSED",ISBLANK(N348)),"&lt;b&gt;","&lt;i&gt;"))</f>
        <v/>
      </c>
      <c r="U348" s="3">
        <f>IF(ISBLANK(V348),"","&lt;a href='")</f>
        <v/>
      </c>
      <c r="V348" s="42" t="n"/>
      <c r="W348" s="17">
        <f>IF(ISBLANK(V348),"","'&gt;")</f>
        <v/>
      </c>
      <c r="X348" s="42" t="n"/>
      <c r="Y348" s="17">
        <f>IF(ISBLANK(X348),"","&lt;/a&gt;")</f>
        <v/>
      </c>
      <c r="Z348" s="42">
        <f>IF(ISBLANK(X348),"",IF(OR(AB348="PASSED",ISBLANK(N348)),"&lt;/b&gt;","&lt;/i&gt;"))</f>
        <v/>
      </c>
      <c r="AA348" s="43">
        <f>IF(AB348="PASSED","&lt;b&gt;","")</f>
        <v/>
      </c>
      <c r="AB348" s="45" t="inlineStr">
        <is>
          <t>—</t>
        </is>
      </c>
      <c r="AC348" s="43">
        <f>IF(AB348="PASSED","&lt;/b&gt;","")</f>
        <v/>
      </c>
      <c r="AD348" s="43">
        <f>IF(ISBLANK(AE348),"","&lt;b&gt;")</f>
        <v/>
      </c>
      <c r="AE348" s="42" t="n"/>
      <c r="AF348" s="42">
        <f>IF(ISBLANK(AE348),"",": ")</f>
        <v/>
      </c>
      <c r="AG348" s="42" t="inlineStr">
        <is>
          <t>Not Scheduled for Hearing</t>
        </is>
      </c>
      <c r="AH348" s="42">
        <f>IF(ISBLANK(AE348),"","&lt;/b&gt;")</f>
        <v/>
      </c>
      <c r="AI348" s="42" t="n"/>
      <c r="AJ348" s="42">
        <f>IF(ISBLANK(AI348),"","&lt;br&gt;"&amp;AI348)</f>
        <v/>
      </c>
      <c r="AK348" s="42" t="n"/>
      <c r="AL348" s="42" t="n"/>
      <c r="AM348" s="42" t="n"/>
      <c r="AN348" s="42">
        <f>IF(ISBLANK(AM348),"","&lt;/i&gt;")</f>
        <v/>
      </c>
      <c r="AO348" s="35">
        <f>IF(ISBLANK(AQ348),"","&lt;/b&gt;&lt;br&gt;&lt;br&gt;")</f>
        <v/>
      </c>
      <c r="AP348" s="42">
        <f>IF(ISBLANK(AQ348),"","&lt;b&gt;")</f>
        <v/>
      </c>
      <c r="AQ348" s="42" t="n"/>
      <c r="AR348" s="4" t="n"/>
      <c r="AS348" s="4">
        <f>IF(ISBLANK(AR348),""," %")</f>
        <v/>
      </c>
      <c r="AT348" s="4">
        <f t="array" ref="AT348">_xlfn.IFS(NOT(ISBLANK(AU348))," (pgs. ",NOT(ISBLANK(AS348))," (pg. ", ISBLANK(AS348), "")</f>
        <v/>
      </c>
      <c r="AU348" s="42" t="n"/>
      <c r="AV348" s="4">
        <f>IF(ISBLANK(AW348),"",", ")</f>
        <v/>
      </c>
      <c r="AW348" s="42" t="n"/>
      <c r="AX348" s="4">
        <f>IF(ISBLANK(AY348),"",",&lt;br&gt;")</f>
        <v/>
      </c>
      <c r="AY348" s="42" t="n"/>
      <c r="AZ348" s="49">
        <f>IF(ISBLANK(AU348),"",")&lt;/b&gt;")</f>
        <v/>
      </c>
      <c r="BA348" s="4">
        <f>IF(ISBLANK(BC348),"","&lt;br&gt;")</f>
        <v/>
      </c>
      <c r="BB348" s="42">
        <f t="array" ref="BB348">IF(ISBLANK(BC348),"",_xlfn.LET(
_xlpm.words,_xlfn.TEXTSPLIT(TRIM(BC348),"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48" s="50" t="n"/>
    </row>
    <row r="349">
      <c r="A349" s="20">
        <f>_xlfn.TEXTJOIN("", TRUE, F349:H349)</f>
        <v/>
      </c>
      <c r="B349" s="21">
        <f>_xlfn.TEXTJOIN("", TRUE, I349:S349)</f>
        <v/>
      </c>
      <c r="C349" s="21">
        <f>IF(ISBLANK(X349),"", _xlfn.TEXTJOIN("",TRUE,T349:Z349))</f>
        <v/>
      </c>
      <c r="D349" s="21">
        <f>IF(ISBLANK(AB349), "", _xlfn.TEXTJOIN("", TRUE, AA349:AC349))</f>
        <v/>
      </c>
      <c r="E349" s="22">
        <f>IF(AU349="NA", _xlfn.TEXTJOIN("", TRUE, AD349:AH349), _xlfn.TEXTJOIN("", TRUE, AD349:AJ349))</f>
        <v/>
      </c>
      <c r="F349" s="42">
        <f>IF(LEFT(G349,4)="FY26","&lt;b&gt;","&lt;i&gt;")</f>
        <v/>
      </c>
      <c r="G349" s="42" t="inlineStr">
        <is>
          <t>FY27 Enhancement</t>
        </is>
      </c>
      <c r="H349" s="42">
        <f>IF(LEFT(G349,4)="FY26","&lt;/b&gt;","&lt;/i&gt;")</f>
        <v/>
      </c>
      <c r="I349" s="43" t="inlineStr">
        <is>
          <t>&lt;i&gt;</t>
        </is>
      </c>
      <c r="J349" s="44" t="inlineStr">
        <is>
          <t>State Board of Education</t>
        </is>
      </c>
      <c r="K349" s="44" t="inlineStr">
        <is>
          <t>&lt;/i&gt;</t>
        </is>
      </c>
      <c r="L349" s="4">
        <f>IF(ISBLANK(N349),"","&lt;br&gt;")</f>
        <v/>
      </c>
      <c r="M349" s="42">
        <f>IF(ISBLANK(R349),"&lt;b&gt;","&lt;i&gt;")</f>
        <v/>
      </c>
      <c r="N349" s="42" t="inlineStr">
        <is>
          <t>Charter School Comm.</t>
        </is>
      </c>
      <c r="O349" s="42">
        <f>IF(ISBLANK(R349),"&lt;/b&gt;","&lt;/i&gt;")</f>
        <v/>
      </c>
      <c r="P349" s="4">
        <f>IF(ISBLANK(R349),"","&lt;br&gt;")</f>
        <v/>
      </c>
      <c r="Q349" s="42">
        <f>IF(ISBLANK(R349),"","&lt;b&gt;")</f>
        <v/>
      </c>
      <c r="R349" s="42" t="n"/>
      <c r="S349" s="42">
        <f>IF(ISBLANK(R349),"","&lt;/i&gt;")</f>
        <v/>
      </c>
      <c r="T349" s="42">
        <f>IF(ISBLANK(X349),"",IF(OR(AB349="PASSED",ISBLANK(N349)),"&lt;b&gt;","&lt;i&gt;"))</f>
        <v/>
      </c>
      <c r="U349" s="3">
        <f>IF(ISBLANK(V349),"","&lt;a href='")</f>
        <v/>
      </c>
      <c r="V349" s="42" t="n"/>
      <c r="W349" s="17">
        <f>IF(ISBLANK(V349),"","'&gt;")</f>
        <v/>
      </c>
      <c r="X349" s="42" t="n"/>
      <c r="Y349" s="17">
        <f>IF(ISBLANK(X349),"","&lt;/a&gt;")</f>
        <v/>
      </c>
      <c r="Z349" s="42">
        <f>IF(ISBLANK(X349),"",IF(OR(AB349="PASSED",ISBLANK(N349)),"&lt;/b&gt;","&lt;/i&gt;"))</f>
        <v/>
      </c>
      <c r="AA349" s="43">
        <f>IF(AB349="PASSED","&lt;b&gt;","")</f>
        <v/>
      </c>
      <c r="AB349" s="45" t="inlineStr">
        <is>
          <t>—</t>
        </is>
      </c>
      <c r="AC349" s="43">
        <f>IF(AB349="PASSED","&lt;/b&gt;","")</f>
        <v/>
      </c>
      <c r="AD349" s="43">
        <f>IF(ISBLANK(AE349),"","&lt;b&gt;")</f>
        <v/>
      </c>
      <c r="AE349" s="42" t="n"/>
      <c r="AF349" s="42">
        <f>IF(ISBLANK(AE349),"",": ")</f>
        <v/>
      </c>
      <c r="AG349" s="42" t="inlineStr">
        <is>
          <t>Not Scheduled for Hearing</t>
        </is>
      </c>
      <c r="AH349" s="42">
        <f>IF(ISBLANK(AE349),"","&lt;/b&gt;")</f>
        <v/>
      </c>
      <c r="AI349" s="42" t="n"/>
      <c r="AJ349" s="42">
        <f>IF(ISBLANK(AI349),"","&lt;br&gt;"&amp;AI349)</f>
        <v/>
      </c>
      <c r="AK349" s="42" t="n"/>
      <c r="AL349" s="42" t="n"/>
      <c r="AM349" s="42" t="n"/>
      <c r="AN349" s="42">
        <f>IF(ISBLANK(AM349),"","&lt;/i&gt;")</f>
        <v/>
      </c>
      <c r="AO349" s="35">
        <f>IF(ISBLANK(AQ349),"","&lt;/b&gt;&lt;br&gt;&lt;br&gt;")</f>
        <v/>
      </c>
      <c r="AP349" s="42">
        <f>IF(ISBLANK(AQ349),"","&lt;b&gt;")</f>
        <v/>
      </c>
      <c r="AQ349" s="42" t="n"/>
      <c r="AR349" s="4" t="n"/>
      <c r="AS349" s="4">
        <f>IF(ISBLANK(AR349),""," %")</f>
        <v/>
      </c>
      <c r="AT349" s="4">
        <f t="array" ref="AT349">_xlfn.IFS(NOT(ISBLANK(AU349))," (pgs. ",NOT(ISBLANK(AS349))," (pg. ", ISBLANK(AS349), "")</f>
        <v/>
      </c>
      <c r="AU349" s="42" t="n"/>
      <c r="AV349" s="4">
        <f>IF(ISBLANK(AW349),"",", ")</f>
        <v/>
      </c>
      <c r="AW349" s="42" t="n"/>
      <c r="AX349" s="4">
        <f>IF(ISBLANK(AY349),"",",&lt;br&gt;")</f>
        <v/>
      </c>
      <c r="AY349" s="42" t="n"/>
      <c r="AZ349" s="49">
        <f>IF(ISBLANK(AU349),"",")&lt;/b&gt;")</f>
        <v/>
      </c>
      <c r="BA349" s="4">
        <f>IF(ISBLANK(BC349),"","&lt;br&gt;")</f>
        <v/>
      </c>
      <c r="BB349" s="42">
        <f t="array" ref="BB349">IF(ISBLANK(BC349),"",_xlfn.LET(
_xlpm.words,_xlfn.TEXTSPLIT(TRIM(BC349),"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49" s="50" t="n"/>
    </row>
    <row r="350">
      <c r="A350" s="20">
        <f>_xlfn.TEXTJOIN("", TRUE, F350:H350)</f>
        <v/>
      </c>
      <c r="B350" s="21">
        <f>_xlfn.TEXTJOIN("", TRUE, I350:S350)</f>
        <v/>
      </c>
      <c r="C350" s="21">
        <f>IF(ISBLANK(X350),"", _xlfn.TEXTJOIN("",TRUE,T350:Z350))</f>
        <v/>
      </c>
      <c r="D350" s="21">
        <f>IF(ISBLANK(AB350), "", _xlfn.TEXTJOIN("", TRUE, AA350:AC350))</f>
        <v/>
      </c>
      <c r="E350" s="22">
        <f>IF(AU350="NA", _xlfn.TEXTJOIN("", TRUE, AD350:AH350), _xlfn.TEXTJOIN("", TRUE, AD350:AJ350))</f>
        <v/>
      </c>
      <c r="F350" s="42">
        <f>IF(LEFT(G350,4)="FY26","&lt;b&gt;","&lt;i&gt;")</f>
        <v/>
      </c>
      <c r="G350" s="42" t="inlineStr">
        <is>
          <t>FY27 Enhancement</t>
        </is>
      </c>
      <c r="H350" s="42">
        <f>IF(LEFT(G350,4)="FY26","&lt;/b&gt;","&lt;/i&gt;")</f>
        <v/>
      </c>
      <c r="I350" s="43" t="inlineStr">
        <is>
          <t>&lt;i&gt;</t>
        </is>
      </c>
      <c r="J350" s="44" t="inlineStr">
        <is>
          <t>State Board of Education</t>
        </is>
      </c>
      <c r="K350" s="44" t="inlineStr">
        <is>
          <t>&lt;/i&gt;</t>
        </is>
      </c>
      <c r="L350" s="4">
        <f>IF(ISBLANK(N350),"","&lt;br&gt;")</f>
        <v/>
      </c>
      <c r="M350" s="42">
        <f>IF(ISBLANK(R350),"&lt;b&gt;","&lt;i&gt;")</f>
        <v/>
      </c>
      <c r="N350" s="42" t="inlineStr">
        <is>
          <t>Idaho Public Television</t>
        </is>
      </c>
      <c r="O350" s="42">
        <f>IF(ISBLANK(R350),"&lt;/b&gt;","&lt;/i&gt;")</f>
        <v/>
      </c>
      <c r="P350" s="4">
        <f>IF(ISBLANK(R350),"","&lt;br&gt;")</f>
        <v/>
      </c>
      <c r="Q350" s="42">
        <f>IF(ISBLANK(R350),"","&lt;b&gt;")</f>
        <v/>
      </c>
      <c r="R350" s="42" t="n"/>
      <c r="S350" s="42">
        <f>IF(ISBLANK(R350),"","&lt;/i&gt;")</f>
        <v/>
      </c>
      <c r="T350" s="42">
        <f>IF(ISBLANK(X350),"",IF(OR(AB350="PASSED",ISBLANK(N350)),"&lt;b&gt;","&lt;i&gt;"))</f>
        <v/>
      </c>
      <c r="U350" s="3">
        <f>IF(ISBLANK(V350),"","&lt;a href='")</f>
        <v/>
      </c>
      <c r="V350" s="42" t="n"/>
      <c r="W350" s="17">
        <f>IF(ISBLANK(V350),"","'&gt;")</f>
        <v/>
      </c>
      <c r="X350" s="42" t="n"/>
      <c r="Y350" s="17">
        <f>IF(ISBLANK(X350),"","&lt;/a&gt;")</f>
        <v/>
      </c>
      <c r="Z350" s="42">
        <f>IF(ISBLANK(X350),"",IF(OR(AB350="PASSED",ISBLANK(N350)),"&lt;/b&gt;","&lt;/i&gt;"))</f>
        <v/>
      </c>
      <c r="AA350" s="43">
        <f>IF(AB350="PASSED","&lt;b&gt;","")</f>
        <v/>
      </c>
      <c r="AB350" s="45" t="inlineStr">
        <is>
          <t>—</t>
        </is>
      </c>
      <c r="AC350" s="43">
        <f>IF(AB350="PASSED","&lt;/b&gt;","")</f>
        <v/>
      </c>
      <c r="AD350" s="43">
        <f>IF(ISBLANK(AE350),"","&lt;b&gt;")</f>
        <v/>
      </c>
      <c r="AE350" s="42" t="n"/>
      <c r="AF350" s="42">
        <f>IF(ISBLANK(AE350),"",": ")</f>
        <v/>
      </c>
      <c r="AG350" s="42" t="inlineStr">
        <is>
          <t>Not Scheduled for Hearing</t>
        </is>
      </c>
      <c r="AH350" s="42">
        <f>IF(ISBLANK(AE350),"","&lt;/b&gt;")</f>
        <v/>
      </c>
      <c r="AI350" s="42" t="n"/>
      <c r="AJ350" s="42">
        <f>IF(ISBLANK(AI350),"","&lt;br&gt;"&amp;AI350)</f>
        <v/>
      </c>
      <c r="AK350" s="42" t="n"/>
      <c r="AL350" s="42" t="n"/>
      <c r="AM350" s="42" t="n"/>
      <c r="AN350" s="42">
        <f>IF(ISBLANK(AM350),"","&lt;/i&gt;")</f>
        <v/>
      </c>
      <c r="AO350" s="35">
        <f>IF(ISBLANK(AQ350),"","&lt;/b&gt;&lt;br&gt;&lt;br&gt;")</f>
        <v/>
      </c>
      <c r="AP350" s="42">
        <f>IF(ISBLANK(AQ350),"","&lt;b&gt;")</f>
        <v/>
      </c>
      <c r="AQ350" s="42" t="n"/>
      <c r="AR350" s="4" t="n"/>
      <c r="AS350" s="4">
        <f>IF(ISBLANK(AR350),""," %")</f>
        <v/>
      </c>
      <c r="AT350" s="4">
        <f t="array" ref="AT350">_xlfn.IFS(NOT(ISBLANK(AU350))," (pgs. ",NOT(ISBLANK(AS350))," (pg. ", ISBLANK(AS350), "")</f>
        <v/>
      </c>
      <c r="AU350" s="42" t="n"/>
      <c r="AV350" s="4">
        <f>IF(ISBLANK(AW350),"",", ")</f>
        <v/>
      </c>
      <c r="AW350" s="42" t="n"/>
      <c r="AX350" s="4">
        <f>IF(ISBLANK(AY350),"",",&lt;br&gt;")</f>
        <v/>
      </c>
      <c r="AY350" s="42" t="n"/>
      <c r="AZ350" s="49">
        <f>IF(ISBLANK(AU350),"",")&lt;/b&gt;")</f>
        <v/>
      </c>
      <c r="BA350" s="4">
        <f>IF(ISBLANK(BC350),"","&lt;br&gt;")</f>
        <v/>
      </c>
      <c r="BB350" s="42">
        <f t="array" ref="BB350">IF(ISBLANK(BC350),"",_xlfn.LET(
_xlpm.words,_xlfn.TEXTSPLIT(TRIM(BC350),"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50" s="50" t="n"/>
    </row>
    <row r="351">
      <c r="A351" s="20">
        <f>_xlfn.TEXTJOIN("", TRUE, F351:H351)</f>
        <v/>
      </c>
      <c r="B351" s="21">
        <f>_xlfn.TEXTJOIN("", TRUE, I351:S351)</f>
        <v/>
      </c>
      <c r="C351" s="21">
        <f>IF(ISBLANK(X351),"", _xlfn.TEXTJOIN("",TRUE,T351:Z351))</f>
        <v/>
      </c>
      <c r="D351" s="21">
        <f>IF(ISBLANK(AB351), "", _xlfn.TEXTJOIN("", TRUE, AA351:AC351))</f>
        <v/>
      </c>
      <c r="E351" s="22">
        <f>IF(AU351="NA", _xlfn.TEXTJOIN("", TRUE, AD351:AH351), _xlfn.TEXTJOIN("", TRUE, AD351:AJ351))</f>
        <v/>
      </c>
      <c r="F351" s="42">
        <f>IF(LEFT(G351,4)="FY26","&lt;b&gt;","&lt;i&gt;")</f>
        <v/>
      </c>
      <c r="G351" s="42" t="inlineStr">
        <is>
          <t>FY27 Enhancement</t>
        </is>
      </c>
      <c r="H351" s="42">
        <f>IF(LEFT(G351,4)="FY26","&lt;/b&gt;","&lt;/i&gt;")</f>
        <v/>
      </c>
      <c r="I351" s="43" t="inlineStr">
        <is>
          <t>&lt;i&gt;</t>
        </is>
      </c>
      <c r="J351" s="44" t="inlineStr">
        <is>
          <t>State Board of Education</t>
        </is>
      </c>
      <c r="K351" s="44" t="inlineStr">
        <is>
          <t>&lt;/i&gt;</t>
        </is>
      </c>
      <c r="L351" s="4">
        <f>IF(ISBLANK(N351),"","&lt;br&gt;")</f>
        <v/>
      </c>
      <c r="M351" s="42">
        <f>IF(ISBLANK(R351),"&lt;b&gt;","&lt;i&gt;")</f>
        <v/>
      </c>
      <c r="N351" s="42" t="inlineStr">
        <is>
          <t>Special Programs</t>
        </is>
      </c>
      <c r="O351" s="42">
        <f>IF(ISBLANK(R351),"&lt;/b&gt;","&lt;/i&gt;")</f>
        <v/>
      </c>
      <c r="P351" s="4">
        <f>IF(ISBLANK(R351),"","&lt;br&gt;")</f>
        <v/>
      </c>
      <c r="Q351" s="42">
        <f>IF(ISBLANK(R351),"","&lt;b&gt;")</f>
        <v/>
      </c>
      <c r="R351" s="42" t="n"/>
      <c r="S351" s="42">
        <f>IF(ISBLANK(R351),"","&lt;/i&gt;")</f>
        <v/>
      </c>
      <c r="T351" s="42">
        <f>IF(ISBLANK(X351),"",IF(OR(AB351="PASSED",ISBLANK(N351)),"&lt;b&gt;","&lt;i&gt;"))</f>
        <v/>
      </c>
      <c r="U351" s="3">
        <f>IF(ISBLANK(V351),"","&lt;a href='")</f>
        <v/>
      </c>
      <c r="V351" s="42" t="n"/>
      <c r="W351" s="17">
        <f>IF(ISBLANK(V351),"","'&gt;")</f>
        <v/>
      </c>
      <c r="X351" s="42" t="n"/>
      <c r="Y351" s="17">
        <f>IF(ISBLANK(X351),"","&lt;/a&gt;")</f>
        <v/>
      </c>
      <c r="Z351" s="42">
        <f>IF(ISBLANK(X351),"",IF(OR(AB351="PASSED",ISBLANK(N351)),"&lt;/b&gt;","&lt;/i&gt;"))</f>
        <v/>
      </c>
      <c r="AA351" s="43">
        <f>IF(AB351="PASSED","&lt;b&gt;","")</f>
        <v/>
      </c>
      <c r="AB351" s="45" t="inlineStr">
        <is>
          <t>—</t>
        </is>
      </c>
      <c r="AC351" s="43">
        <f>IF(AB351="PASSED","&lt;/b&gt;","")</f>
        <v/>
      </c>
      <c r="AD351" s="43">
        <f>IF(ISBLANK(AE351),"","&lt;b&gt;")</f>
        <v/>
      </c>
      <c r="AE351" s="42" t="n"/>
      <c r="AF351" s="42">
        <f>IF(ISBLANK(AE351),"",": ")</f>
        <v/>
      </c>
      <c r="AG351" s="42" t="inlineStr">
        <is>
          <t>Not Scheduled for Hearing</t>
        </is>
      </c>
      <c r="AH351" s="42">
        <f>IF(ISBLANK(AE351),"","&lt;/b&gt;")</f>
        <v/>
      </c>
      <c r="AI351" s="42" t="n"/>
      <c r="AJ351" s="42">
        <f>IF(ISBLANK(AI351),"","&lt;br&gt;"&amp;AI351)</f>
        <v/>
      </c>
      <c r="AK351" s="42" t="n"/>
      <c r="AL351" s="42" t="n"/>
      <c r="AM351" s="42" t="n"/>
      <c r="AN351" s="42">
        <f>IF(ISBLANK(AM351),"","&lt;/i&gt;")</f>
        <v/>
      </c>
      <c r="AO351" s="35">
        <f>IF(ISBLANK(AQ351),"","&lt;/b&gt;&lt;br&gt;&lt;br&gt;")</f>
        <v/>
      </c>
      <c r="AP351" s="42">
        <f>IF(ISBLANK(AQ351),"","&lt;b&gt;")</f>
        <v/>
      </c>
      <c r="AQ351" s="42" t="n"/>
      <c r="AR351" s="4" t="n"/>
      <c r="AS351" s="4">
        <f>IF(ISBLANK(AR351),""," %")</f>
        <v/>
      </c>
      <c r="AT351" s="4">
        <f t="array" ref="AT351">_xlfn.IFS(NOT(ISBLANK(AU351))," (pgs. ",NOT(ISBLANK(AS351))," (pg. ", ISBLANK(AS351), "")</f>
        <v/>
      </c>
      <c r="AU351" s="42" t="n"/>
      <c r="AV351" s="4">
        <f>IF(ISBLANK(AW351),"",", ")</f>
        <v/>
      </c>
      <c r="AW351" s="42" t="n"/>
      <c r="AX351" s="4">
        <f>IF(ISBLANK(AY351),"",",&lt;br&gt;")</f>
        <v/>
      </c>
      <c r="AY351" s="42" t="n"/>
      <c r="AZ351" s="49">
        <f>IF(ISBLANK(AU351),"",")&lt;/b&gt;")</f>
        <v/>
      </c>
      <c r="BA351" s="4">
        <f>IF(ISBLANK(BC351),"","&lt;br&gt;")</f>
        <v/>
      </c>
      <c r="BB351" s="42">
        <f t="array" ref="BB351">IF(ISBLANK(BC351),"",_xlfn.LET(
_xlpm.words,_xlfn.TEXTSPLIT(TRIM(BC351)," "),
_xlpm.maxLen,34,
_xlpm.lines,
_xlfn.REDUCE(
{"",0},
_xlpm.words,
_xlfn.LAMBDA(_xlpm.acc,_xlpm.w,
_xlfn.LET(
_xlpm.currLine,INDEX(_xlpm.acc,1,1),
_xlpm.currLen,INDEX(_xlpm.acc,1,2),
_xlpm.wLen,LEN(_xlpm.w),
_xlpm.newLine,
IF(_xlpm.currLen=0,
_xlpm.w,
IF(_xlpm.currLen+1+_xlpm.wLen&gt;_xlpm.maxLen,
_xlpm.currLine&amp;"|"&amp;_xlpm.w,
_xlpm.currLine&amp;" "&amp;_xlpm.w
)
),
_xlpm.newLen,
IF(_xlpm.currLen=0,
_xlpm.wLen,
IF(_xlpm.currLen+1+_xlpm.wLen&gt;_xlpm.maxLen,
_xlpm.wLen,
_xlpm.currLen+1+_xlpm.wLen
)
),
_xlfn.HSTACK(_xlpm.newLine,_xlpm.newLen)
)
)
),
_xlpm.splitLines,_xlfn.TEXTSPLIT(INDEX(_xlpm.lines,1,1),"|"),
_xlfn.TEXTJOIN(" &lt;br&gt;",TRUE,_xlpm.splitLines)
))</f>
        <v/>
      </c>
      <c r="BC351" s="50" t="n"/>
    </row>
  </sheetData>
  <hyperlinks>
    <hyperlink xmlns:r="http://schemas.openxmlformats.org/officeDocument/2006/relationships" ref="V3" r:id="rId1"/>
    <hyperlink xmlns:r="http://schemas.openxmlformats.org/officeDocument/2006/relationships" ref="V4" r:id="rId2"/>
    <hyperlink xmlns:r="http://schemas.openxmlformats.org/officeDocument/2006/relationships" ref="V5" r:id="rId3"/>
    <hyperlink xmlns:r="http://schemas.openxmlformats.org/officeDocument/2006/relationships" ref="V6" r:id="rId4"/>
    <hyperlink xmlns:r="http://schemas.openxmlformats.org/officeDocument/2006/relationships" ref="V7" r:id="rId5"/>
    <hyperlink xmlns:r="http://schemas.openxmlformats.org/officeDocument/2006/relationships" ref="V8" r:id="rId6"/>
    <hyperlink xmlns:r="http://schemas.openxmlformats.org/officeDocument/2006/relationships" ref="V9" r:id="rId7"/>
    <hyperlink xmlns:r="http://schemas.openxmlformats.org/officeDocument/2006/relationships" ref="V10" r:id="rId8"/>
    <hyperlink xmlns:r="http://schemas.openxmlformats.org/officeDocument/2006/relationships" ref="V11" r:id="rId9"/>
    <hyperlink xmlns:r="http://schemas.openxmlformats.org/officeDocument/2006/relationships" ref="V12" r:id="rId10"/>
    <hyperlink xmlns:r="http://schemas.openxmlformats.org/officeDocument/2006/relationships" ref="V13" r:id="rId11"/>
    <hyperlink xmlns:r="http://schemas.openxmlformats.org/officeDocument/2006/relationships" ref="V14" r:id="rId12"/>
    <hyperlink xmlns:r="http://schemas.openxmlformats.org/officeDocument/2006/relationships" ref="V15" r:id="rId13"/>
    <hyperlink xmlns:r="http://schemas.openxmlformats.org/officeDocument/2006/relationships" ref="V16" r:id="rId14"/>
    <hyperlink xmlns:r="http://schemas.openxmlformats.org/officeDocument/2006/relationships" ref="V17" r:id="rId15"/>
    <hyperlink xmlns:r="http://schemas.openxmlformats.org/officeDocument/2006/relationships" ref="V18" r:id="rId16"/>
    <hyperlink xmlns:r="http://schemas.openxmlformats.org/officeDocument/2006/relationships" ref="V19" r:id="rId17"/>
    <hyperlink xmlns:r="http://schemas.openxmlformats.org/officeDocument/2006/relationships" ref="V20" r:id="rId18"/>
    <hyperlink xmlns:r="http://schemas.openxmlformats.org/officeDocument/2006/relationships" ref="V21" r:id="rId19"/>
    <hyperlink xmlns:r="http://schemas.openxmlformats.org/officeDocument/2006/relationships" ref="V22" r:id="rId20"/>
    <hyperlink xmlns:r="http://schemas.openxmlformats.org/officeDocument/2006/relationships" ref="V23" r:id="rId21"/>
    <hyperlink xmlns:r="http://schemas.openxmlformats.org/officeDocument/2006/relationships" ref="V24" r:id="rId22"/>
    <hyperlink xmlns:r="http://schemas.openxmlformats.org/officeDocument/2006/relationships" ref="V25" r:id="rId23"/>
    <hyperlink xmlns:r="http://schemas.openxmlformats.org/officeDocument/2006/relationships" ref="V26" r:id="rId24"/>
    <hyperlink xmlns:r="http://schemas.openxmlformats.org/officeDocument/2006/relationships" ref="V40" r:id="rId25"/>
    <hyperlink xmlns:r="http://schemas.openxmlformats.org/officeDocument/2006/relationships" ref="V167" r:id="rId26"/>
    <hyperlink xmlns:r="http://schemas.openxmlformats.org/officeDocument/2006/relationships" ref="V184" r:id="rId27"/>
    <hyperlink xmlns:r="http://schemas.openxmlformats.org/officeDocument/2006/relationships" ref="V192" r:id="rId28"/>
    <hyperlink xmlns:r="http://schemas.openxmlformats.org/officeDocument/2006/relationships" ref="V193" r:id="rId29"/>
    <hyperlink xmlns:r="http://schemas.openxmlformats.org/officeDocument/2006/relationships" ref="V196" r:id="rId30"/>
    <hyperlink xmlns:r="http://schemas.openxmlformats.org/officeDocument/2006/relationships" ref="V204" r:id="rId31"/>
    <hyperlink xmlns:r="http://schemas.openxmlformats.org/officeDocument/2006/relationships" ref="V209" r:id="rId32"/>
    <hyperlink xmlns:r="http://schemas.openxmlformats.org/officeDocument/2006/relationships" ref="V211" r:id="rId33"/>
    <hyperlink xmlns:r="http://schemas.openxmlformats.org/officeDocument/2006/relationships" ref="V212" r:id="rId34"/>
    <hyperlink xmlns:r="http://schemas.openxmlformats.org/officeDocument/2006/relationships" ref="V213" r:id="rId35"/>
    <hyperlink xmlns:r="http://schemas.openxmlformats.org/officeDocument/2006/relationships" ref="V214" r:id="rId36"/>
    <hyperlink xmlns:r="http://schemas.openxmlformats.org/officeDocument/2006/relationships" ref="V215" r:id="rId37"/>
    <hyperlink xmlns:r="http://schemas.openxmlformats.org/officeDocument/2006/relationships" ref="V216" r:id="rId38"/>
    <hyperlink xmlns:r="http://schemas.openxmlformats.org/officeDocument/2006/relationships" ref="V225" r:id="rId39"/>
    <hyperlink xmlns:r="http://schemas.openxmlformats.org/officeDocument/2006/relationships" ref="V226" r:id="rId40"/>
    <hyperlink xmlns:r="http://schemas.openxmlformats.org/officeDocument/2006/relationships" ref="V227" r:id="rId41"/>
    <hyperlink xmlns:r="http://schemas.openxmlformats.org/officeDocument/2006/relationships" ref="V228" r:id="rId42"/>
    <hyperlink xmlns:r="http://schemas.openxmlformats.org/officeDocument/2006/relationships" ref="V229" r:id="rId43"/>
    <hyperlink xmlns:r="http://schemas.openxmlformats.org/officeDocument/2006/relationships" ref="V230" r:id="rId44"/>
    <hyperlink xmlns:r="http://schemas.openxmlformats.org/officeDocument/2006/relationships" ref="V231" r:id="rId45"/>
    <hyperlink xmlns:r="http://schemas.openxmlformats.org/officeDocument/2006/relationships" ref="V232" r:id="rId46"/>
    <hyperlink xmlns:r="http://schemas.openxmlformats.org/officeDocument/2006/relationships" ref="V233" r:id="rId47"/>
    <hyperlink xmlns:r="http://schemas.openxmlformats.org/officeDocument/2006/relationships" ref="V234" r:id="rId48"/>
    <hyperlink xmlns:r="http://schemas.openxmlformats.org/officeDocument/2006/relationships" ref="V235" r:id="rId49"/>
    <hyperlink xmlns:r="http://schemas.openxmlformats.org/officeDocument/2006/relationships" ref="V236" r:id="rId50"/>
    <hyperlink xmlns:r="http://schemas.openxmlformats.org/officeDocument/2006/relationships" ref="V237" r:id="rId51"/>
    <hyperlink xmlns:r="http://schemas.openxmlformats.org/officeDocument/2006/relationships" ref="V238" r:id="rId52"/>
    <hyperlink xmlns:r="http://schemas.openxmlformats.org/officeDocument/2006/relationships" ref="V239" r:id="rId53"/>
    <hyperlink xmlns:r="http://schemas.openxmlformats.org/officeDocument/2006/relationships" ref="V240" r:id="rId54"/>
    <hyperlink xmlns:r="http://schemas.openxmlformats.org/officeDocument/2006/relationships" ref="V241" r:id="rId55"/>
    <hyperlink xmlns:r="http://schemas.openxmlformats.org/officeDocument/2006/relationships" ref="V242" r:id="rId56"/>
    <hyperlink xmlns:r="http://schemas.openxmlformats.org/officeDocument/2006/relationships" ref="V243" r:id="rId57"/>
    <hyperlink xmlns:r="http://schemas.openxmlformats.org/officeDocument/2006/relationships" ref="V244" r:id="rId58"/>
    <hyperlink xmlns:r="http://schemas.openxmlformats.org/officeDocument/2006/relationships" ref="V245" r:id="rId59"/>
    <hyperlink xmlns:r="http://schemas.openxmlformats.org/officeDocument/2006/relationships" ref="V246" r:id="rId60"/>
    <hyperlink xmlns:r="http://schemas.openxmlformats.org/officeDocument/2006/relationships" ref="V247" r:id="rId61"/>
    <hyperlink xmlns:r="http://schemas.openxmlformats.org/officeDocument/2006/relationships" ref="V248" r:id="rId62"/>
    <hyperlink xmlns:r="http://schemas.openxmlformats.org/officeDocument/2006/relationships" ref="V269" r:id="rId63"/>
    <hyperlink xmlns:r="http://schemas.openxmlformats.org/officeDocument/2006/relationships" ref="V270" r:id="rId64"/>
    <hyperlink xmlns:r="http://schemas.openxmlformats.org/officeDocument/2006/relationships" ref="V271" r:id="rId65"/>
    <hyperlink xmlns:r="http://schemas.openxmlformats.org/officeDocument/2006/relationships" ref="V272" r:id="rId66"/>
    <hyperlink xmlns:r="http://schemas.openxmlformats.org/officeDocument/2006/relationships" ref="V273" r:id="rId67"/>
    <hyperlink xmlns:r="http://schemas.openxmlformats.org/officeDocument/2006/relationships" ref="V274" r:id="rId68"/>
    <hyperlink xmlns:r="http://schemas.openxmlformats.org/officeDocument/2006/relationships" ref="V275" r:id="rId69"/>
    <hyperlink xmlns:r="http://schemas.openxmlformats.org/officeDocument/2006/relationships" ref="V276" r:id="rId70"/>
    <hyperlink xmlns:r="http://schemas.openxmlformats.org/officeDocument/2006/relationships" ref="V277" r:id="rId71"/>
    <hyperlink xmlns:r="http://schemas.openxmlformats.org/officeDocument/2006/relationships" ref="V278" r:id="rId72"/>
    <hyperlink xmlns:r="http://schemas.openxmlformats.org/officeDocument/2006/relationships" ref="V279" r:id="rId73"/>
    <hyperlink xmlns:r="http://schemas.openxmlformats.org/officeDocument/2006/relationships" ref="V280" r:id="rId74"/>
    <hyperlink xmlns:r="http://schemas.openxmlformats.org/officeDocument/2006/relationships" ref="V281" r:id="rId75"/>
    <hyperlink xmlns:r="http://schemas.openxmlformats.org/officeDocument/2006/relationships" ref="V282" r:id="rId76"/>
    <hyperlink xmlns:r="http://schemas.openxmlformats.org/officeDocument/2006/relationships" ref="V283" r:id="rId77"/>
    <hyperlink xmlns:r="http://schemas.openxmlformats.org/officeDocument/2006/relationships" ref="V284" r:id="rId78"/>
    <hyperlink xmlns:r="http://schemas.openxmlformats.org/officeDocument/2006/relationships" ref="V285" r:id="rId79"/>
    <hyperlink xmlns:r="http://schemas.openxmlformats.org/officeDocument/2006/relationships" ref="V286" r:id="rId80"/>
    <hyperlink xmlns:r="http://schemas.openxmlformats.org/officeDocument/2006/relationships" ref="V287" r:id="rId81"/>
    <hyperlink xmlns:r="http://schemas.openxmlformats.org/officeDocument/2006/relationships" ref="V288" r:id="rId82"/>
    <hyperlink xmlns:r="http://schemas.openxmlformats.org/officeDocument/2006/relationships" ref="V289" r:id="rId83"/>
    <hyperlink xmlns:r="http://schemas.openxmlformats.org/officeDocument/2006/relationships" ref="V290" r:id="rId84"/>
  </hyperlink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2026-02-18T03:16:39Z</dcterms:created>
  <dcterms:modified xmlns:dcterms="http://purl.org/dc/terms/" xmlns:xsi="http://www.w3.org/2001/XMLSchema-instance" xsi:type="dcterms:W3CDTF">2026-03-12T09:05:35Z</dcterms:modified>
  <cp:lastModifiedBy>Logan Finney</cp:lastModifiedBy>
</cp:coreProperties>
</file>